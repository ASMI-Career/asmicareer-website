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MBBS" sheetId="2" state="visible" r:id="rId2"/>
    <sheet xmlns:r="http://schemas.openxmlformats.org/officeDocument/2006/relationships" name="BDS" sheetId="3" state="visible" r:id="rId3"/>
    <sheet xmlns:r="http://schemas.openxmlformats.org/officeDocument/2006/relationships" name="BAMS" sheetId="4" state="visible" r:id="rId4"/>
    <sheet xmlns:r="http://schemas.openxmlformats.org/officeDocument/2006/relationships" name="BHMS" sheetId="5" state="visible" r:id="rId5"/>
    <sheet xmlns:r="http://schemas.openxmlformats.org/officeDocument/2006/relationships" name="BPTH" sheetId="6" state="visible" r:id="rId6"/>
    <sheet xmlns:r="http://schemas.openxmlformats.org/officeDocument/2006/relationships" name="BVSC" sheetId="7" state="visible" r:id="rId7"/>
    <sheet xmlns:r="http://schemas.openxmlformats.org/officeDocument/2006/relationships" name="Budget 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0A2472"/>
      <sz val="11"/>
    </font>
    <font>
      <name val="Arial"/>
      <b val="1"/>
      <color rgb="000A1F44"/>
      <sz val="10"/>
    </font>
    <font>
      <name val="Arial"/>
      <color rgb="006B7280"/>
      <sz val="10"/>
    </font>
    <font>
      <name val="Arial"/>
      <b val="1"/>
      <color rgb="000A2472"/>
      <sz val="12"/>
    </font>
    <font>
      <name val="Arial"/>
      <color rgb="00374151"/>
      <sz val="10"/>
    </font>
    <font>
      <name val="Arial"/>
      <i val="1"/>
      <color rgb="00374151"/>
      <sz val="9"/>
    </font>
    <font>
      <name val="Arial"/>
      <b val="1"/>
      <color rgb="00FFFFFF"/>
      <sz val="9"/>
    </font>
    <font>
      <name val="Arial"/>
      <b val="1"/>
      <color rgb="000A2472"/>
      <sz val="10"/>
    </font>
    <font>
      <name val="Arial"/>
      <b val="1"/>
      <color rgb="001e3a5f"/>
      <sz val="9"/>
    </font>
    <font>
      <name val="Arial"/>
      <color rgb="00000000"/>
      <sz val="10"/>
    </font>
    <font>
      <name val="Arial"/>
      <i val="1"/>
      <color rgb="006B7280"/>
      <sz val="10"/>
    </font>
    <font>
      <name val="Arial"/>
      <sz val="10"/>
    </font>
    <font>
      <name val="Arial"/>
      <b val="1"/>
      <sz val="10"/>
    </font>
    <font>
      <name val="Arial"/>
      <color rgb="00374151"/>
      <sz val="9"/>
    </font>
    <font>
      <name val="Arial"/>
      <b val="1"/>
      <color rgb="0016A34A"/>
      <sz val="9"/>
    </font>
    <font>
      <name val="Arial"/>
      <color rgb="00DC2626"/>
      <sz val="10"/>
    </font>
    <font>
      <name val="Arial"/>
      <color rgb="009CA3AF"/>
      <sz val="10"/>
    </font>
    <font>
      <name val="Arial"/>
      <b val="1"/>
      <color rgb="00DC2626"/>
      <sz val="9"/>
    </font>
    <font>
      <name val="Arial"/>
      <b val="1"/>
      <color rgb="00FFFFFF"/>
      <sz val="12"/>
    </font>
    <font>
      <name val="Arial"/>
      <color rgb="000A1F44"/>
      <sz val="10"/>
    </font>
  </fonts>
  <fills count="12">
    <fill>
      <patternFill/>
    </fill>
    <fill>
      <patternFill patternType="gray125"/>
    </fill>
    <fill>
      <patternFill patternType="solid">
        <fgColor rgb="000A2472"/>
      </patternFill>
    </fill>
    <fill>
      <patternFill patternType="solid">
        <fgColor rgb="00F5A623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E8F3FC"/>
      </patternFill>
    </fill>
    <fill>
      <patternFill patternType="solid">
        <fgColor rgb="00DBEAFE"/>
      </patternFill>
    </fill>
    <fill>
      <patternFill patternType="solid">
        <fgColor rgb="00F3F4F6"/>
      </patternFill>
    </fill>
    <fill>
      <patternFill patternType="solid">
        <fgColor rgb="00DCFCE7"/>
      </patternFill>
    </fill>
    <fill>
      <patternFill patternType="solid">
        <fgColor rgb="00E0F2FE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vertical="center"/>
    </xf>
    <xf numFmtId="0" fontId="10" fillId="7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5" fillId="4" borderId="1" applyAlignment="1" pivotButton="0" quotePrefix="0" xfId="0">
      <alignment vertical="center" wrapText="1"/>
    </xf>
    <xf numFmtId="0" fontId="16" fillId="9" borderId="1" applyAlignment="1" pivotButton="0" quotePrefix="0" xfId="0">
      <alignment horizontal="center" vertical="center"/>
    </xf>
    <xf numFmtId="0" fontId="9" fillId="6" borderId="1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5" fillId="6" borderId="1" applyAlignment="1" pivotButton="0" quotePrefix="0" xfId="0">
      <alignment vertical="center" wrapText="1"/>
    </xf>
    <xf numFmtId="0" fontId="10" fillId="11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20" fillId="2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0" customWidth="1" min="3" max="3"/>
  </cols>
  <sheetData>
    <row r="1" ht="35" customHeight="1">
      <c r="A1" s="1" t="inlineStr">
        <is>
          <t>ASMI CAREER — CUTOFF MASTER DATA</t>
        </is>
      </c>
      <c r="B1" s="2" t="n"/>
      <c r="C1" s="2" t="n"/>
    </row>
    <row r="2">
      <c r="A2" s="3" t="inlineStr">
        <is>
          <t>Setting</t>
        </is>
      </c>
      <c r="B2" s="3" t="inlineStr">
        <is>
          <t>Value</t>
        </is>
      </c>
      <c r="C2" s="3" t="inlineStr">
        <is>
          <t>Notes</t>
        </is>
      </c>
    </row>
    <row r="3" ht="50" customHeight="1">
      <c r="A3" s="4" t="inlineStr">
        <is>
          <t>Paper Adjustment (marks)</t>
        </is>
      </c>
      <c r="B3" s="5" t="n">
        <v>15</v>
      </c>
      <c r="C3" s="6" t="inlineStr">
        <is>
          <t>ReNEET 2026 — cutoffs projected to rise. Change this one number to update ALL projected cutoffs across all sheets. Positive = harder paper, cutoffs rise. Negative = easier paper, cutoffs drop.</t>
        </is>
      </c>
    </row>
    <row r="4">
      <c r="A4" s="7" t="inlineStr">
        <is>
          <t>Data Year</t>
        </is>
      </c>
      <c r="B4" s="8" t="inlineStr">
        <is>
          <t>2025-26</t>
        </is>
      </c>
      <c r="C4" s="9" t="inlineStr">
        <is>
          <t>The year of actual cutoff data entered in this file</t>
        </is>
      </c>
    </row>
    <row r="5">
      <c r="A5" s="4" t="inlineStr">
        <is>
          <t>Projected Year</t>
        </is>
      </c>
      <c r="B5" s="10" t="inlineStr">
        <is>
          <t>2026</t>
        </is>
      </c>
      <c r="C5" s="6" t="inlineStr">
        <is>
          <t>Year for which projections are being made</t>
        </is>
      </c>
    </row>
    <row r="6">
      <c r="A6" s="7" t="inlineStr">
        <is>
          <t>Last Updated By</t>
        </is>
      </c>
      <c r="B6" s="8" t="inlineStr"/>
      <c r="C6" s="9" t="inlineStr">
        <is>
          <t>Enter your name when you update data</t>
        </is>
      </c>
    </row>
    <row r="7">
      <c r="A7" s="4" t="inlineStr">
        <is>
          <t>Last Updated Date</t>
        </is>
      </c>
      <c r="B7" s="10" t="inlineStr"/>
      <c r="C7" s="6" t="inlineStr">
        <is>
          <t>Enter date of last update</t>
        </is>
      </c>
    </row>
    <row r="8">
      <c r="A8" s="7" t="inlineStr">
        <is>
          <t>Source</t>
        </is>
      </c>
      <c r="B8" s="8" t="inlineStr">
        <is>
          <t>ASMI Internal + MCC/State Data</t>
        </is>
      </c>
      <c r="C8" s="9" t="inlineStr">
        <is>
          <t>Data source reference</t>
        </is>
      </c>
    </row>
    <row r="10">
      <c r="A10" s="11" t="inlineStr">
        <is>
          <t>⚠️ HOW TO USE THIS FILE</t>
        </is>
      </c>
    </row>
    <row r="11" ht="22" customHeight="1">
      <c r="A11" s="12" t="inlineStr">
        <is>
          <t>1. The YELLOW cell B3 is the Paper Adjustment. Change this ONE number and all projected cutoffs update automatically.</t>
        </is>
      </c>
    </row>
    <row r="12" ht="22" customHeight="1">
      <c r="A12" s="12" t="inlineStr">
        <is>
          <t>2. Each course has its own sheet (MBBS, BDS, BAMS, BHMS, BPTH, BVSC).</t>
        </is>
      </c>
    </row>
    <row r="13" ht="22" customHeight="1">
      <c r="A13" s="12" t="inlineStr">
        <is>
          <t>3. Columns highlighted in YELLOW are ones you need to fill in — data not yet available.</t>
        </is>
      </c>
    </row>
    <row r="14" ht="22" customHeight="1">
      <c r="A14" s="12" t="inlineStr">
        <is>
          <t>4. The 'Projected 2026' column is a formula: Actual Cutoff + Paper Adjustment. Do NOT edit it manually.</t>
        </is>
      </c>
    </row>
    <row r="15" ht="22" customHeight="1">
      <c r="A15" s="12" t="inlineStr">
        <is>
          <t>5. Tier column: 1 = Premier (KEM, AIIMS), 2 = Reputed Private, 3 = Accessible/Newer</t>
        </is>
      </c>
    </row>
    <row r="16" ht="22" customHeight="1">
      <c r="A16" s="12" t="inlineStr">
        <is>
          <t>6. Fee columns are in Lakhs per year (e.g., 10.92 means ₹10.92 Lakh/year)</t>
        </is>
      </c>
    </row>
    <row r="17" ht="22" customHeight="1">
      <c r="A17" s="12" t="inlineStr">
        <is>
          <t>7. When you update this file, also update the dashboard.html cutoff data section.</t>
        </is>
      </c>
    </row>
  </sheetData>
  <mergeCells count="9">
    <mergeCell ref="A10:C10"/>
    <mergeCell ref="A13:C13"/>
    <mergeCell ref="A11:C11"/>
    <mergeCell ref="A1:C1"/>
    <mergeCell ref="A14:C14"/>
    <mergeCell ref="A17:C17"/>
    <mergeCell ref="A12:C12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4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40" customWidth="1" min="16" max="16"/>
    <col width="10" customWidth="1" min="17" max="17"/>
  </cols>
  <sheetData>
    <row r="1" ht="32" customHeight="1">
      <c r="A1" s="13" t="inlineStr">
        <is>
          <t>ASMI Career — MBBS Cutoff Data (2025-26 Actuals)</t>
        </is>
      </c>
    </row>
    <row r="2" ht="18" customHeight="1">
      <c r="A2" s="14" t="inlineStr">
        <is>
          <t>Paper Adjustment is pulled from Settings sheet (currently +15). Projected 2026 = 2025 Actual + Adjustment. YELLOW cells = data needed.</t>
        </is>
      </c>
    </row>
    <row r="3" ht="36" customHeight="1">
      <c r="A3" s="15" t="inlineStr">
        <is>
          <t>State / Process</t>
        </is>
      </c>
      <c r="B3" s="15" t="inlineStr">
        <is>
          <t>Type</t>
        </is>
      </c>
      <c r="C3" s="15" t="inlineStr">
        <is>
          <t>Open Cutoff
2025-26</t>
        </is>
      </c>
      <c r="D3" s="15" t="inlineStr">
        <is>
          <t>OBC Cutoff
2025-26</t>
        </is>
      </c>
      <c r="E3" s="15" t="inlineStr">
        <is>
          <t>EWS Cutoff
2025-26</t>
        </is>
      </c>
      <c r="F3" s="15" t="inlineStr">
        <is>
          <t>SC Cutoff
2025-26</t>
        </is>
      </c>
      <c r="G3" s="15" t="inlineStr">
        <is>
          <t>ST Cutoff
2025-26</t>
        </is>
      </c>
      <c r="H3" s="15" t="inlineStr">
        <is>
          <t>VJ/NT Cutoff
2025-26</t>
        </is>
      </c>
      <c r="I3" s="15" t="inlineStr">
        <is>
          <t>Paper Adj
(from Settings)</t>
        </is>
      </c>
      <c r="J3" s="15" t="inlineStr">
        <is>
          <t>Projected Open
Cutoff 2026</t>
        </is>
      </c>
      <c r="K3" s="15" t="inlineStr">
        <is>
          <t>Fee Min
(L/yr)</t>
        </is>
      </c>
      <c r="L3" s="15" t="inlineStr">
        <is>
          <t>Fee Max
(L/yr)</t>
        </is>
      </c>
      <c r="M3" s="15" t="inlineStr">
        <is>
          <t>Open Seats</t>
        </is>
      </c>
      <c r="N3" s="15" t="inlineStr">
        <is>
          <t>Colleges</t>
        </is>
      </c>
      <c r="O3" s="15" t="inlineStr">
        <is>
          <t>Tier
(1/2/3)</t>
        </is>
      </c>
      <c r="P3" s="15" t="inlineStr">
        <is>
          <t>Notes</t>
        </is>
      </c>
      <c r="Q3" s="15" t="inlineStr">
        <is>
          <t>Data
Complete?</t>
        </is>
      </c>
    </row>
    <row r="4" ht="22" customHeight="1">
      <c r="A4" s="16" t="inlineStr">
        <is>
          <t>MH Government</t>
        </is>
      </c>
      <c r="B4" s="17" t="inlineStr">
        <is>
          <t>State</t>
        </is>
      </c>
      <c r="C4" s="18" t="n">
        <v>504</v>
      </c>
      <c r="D4" s="18" t="n">
        <v>504</v>
      </c>
      <c r="E4" s="18" t="n">
        <v>486</v>
      </c>
      <c r="F4" s="18" t="n">
        <v>427</v>
      </c>
      <c r="G4" s="18" t="n">
        <v>338</v>
      </c>
      <c r="H4" s="18" t="n">
        <v>477</v>
      </c>
      <c r="I4" s="19">
        <f>Settings!$B$3</f>
        <v/>
      </c>
      <c r="J4" s="20">
        <f>C4+Settings!$B$3</f>
        <v/>
      </c>
      <c r="K4" s="21" t="n">
        <v>1</v>
      </c>
      <c r="L4" s="21" t="n">
        <v>2</v>
      </c>
      <c r="M4" s="21" t="n">
        <v>4936</v>
      </c>
      <c r="N4" s="21" t="n">
        <v>42</v>
      </c>
      <c r="O4" s="22" t="n">
        <v>1</v>
      </c>
      <c r="P4" s="23" t="inlineStr">
        <is>
          <t>Domicile required. VJ/NT/SEBC categories also available.</t>
        </is>
      </c>
      <c r="Q4" s="24" t="inlineStr">
        <is>
          <t>✓ Yes</t>
        </is>
      </c>
    </row>
    <row r="5" ht="22" customHeight="1">
      <c r="A5" s="25" t="inlineStr">
        <is>
          <t>MH Private</t>
        </is>
      </c>
      <c r="B5" s="17" t="inlineStr">
        <is>
          <t>State</t>
        </is>
      </c>
      <c r="C5" s="26" t="n">
        <v>474</v>
      </c>
      <c r="D5" s="26" t="n">
        <v>473</v>
      </c>
      <c r="E5" s="26" t="n">
        <v>470</v>
      </c>
      <c r="F5" s="26" t="n">
        <v>418</v>
      </c>
      <c r="G5" s="26" t="n">
        <v>328</v>
      </c>
      <c r="H5" s="26" t="n">
        <v>463</v>
      </c>
      <c r="I5" s="19">
        <f>Settings!$B$3</f>
        <v/>
      </c>
      <c r="J5" s="20">
        <f>C5+Settings!$B$3</f>
        <v/>
      </c>
      <c r="K5" s="27" t="n">
        <v>7</v>
      </c>
      <c r="L5" s="27" t="n">
        <v>15.5</v>
      </c>
      <c r="M5" s="27" t="n">
        <v>3599</v>
      </c>
      <c r="N5" s="27" t="n">
        <v>25</v>
      </c>
      <c r="O5" s="28" t="n">
        <v>2</v>
      </c>
      <c r="P5" s="29" t="inlineStr">
        <is>
          <t>85% seats via state process. Category fee concessions apply.</t>
        </is>
      </c>
      <c r="Q5" s="24" t="inlineStr">
        <is>
          <t>✓ Yes</t>
        </is>
      </c>
    </row>
    <row r="6" ht="22" customHeight="1">
      <c r="A6" s="16" t="inlineStr">
        <is>
          <t>15% AIQ Government</t>
        </is>
      </c>
      <c r="B6" s="30" t="inlineStr">
        <is>
          <t>Central</t>
        </is>
      </c>
      <c r="C6" s="18" t="n">
        <v>527</v>
      </c>
      <c r="D6" s="18" t="n">
        <v>527</v>
      </c>
      <c r="E6" s="18" t="n">
        <v>522</v>
      </c>
      <c r="F6" s="18" t="n">
        <v>441</v>
      </c>
      <c r="G6" s="18" t="n">
        <v>425</v>
      </c>
      <c r="H6" s="31" t="inlineStr">
        <is>
          <t>FILL</t>
        </is>
      </c>
      <c r="I6" s="19">
        <f>Settings!$B$3</f>
        <v/>
      </c>
      <c r="J6" s="20">
        <f>C6+Settings!$B$3</f>
        <v/>
      </c>
      <c r="K6" s="21" t="n">
        <v>1</v>
      </c>
      <c r="L6" s="21" t="n">
        <v>2</v>
      </c>
      <c r="M6" s="21" t="n">
        <v>8779</v>
      </c>
      <c r="N6" s="21" t="n">
        <v>421</v>
      </c>
      <c r="O6" s="22" t="n">
        <v>1</v>
      </c>
      <c r="P6" s="23" t="inlineStr">
        <is>
          <t>Open to all states. MCC conducts. 4 rounds.</t>
        </is>
      </c>
      <c r="Q6" s="24" t="inlineStr">
        <is>
          <t>✓ Yes</t>
        </is>
      </c>
    </row>
    <row r="7" ht="22" customHeight="1">
      <c r="A7" s="25" t="inlineStr">
        <is>
          <t>AIIMS</t>
        </is>
      </c>
      <c r="B7" s="30" t="inlineStr">
        <is>
          <t>Central</t>
        </is>
      </c>
      <c r="C7" s="26" t="n">
        <v>564</v>
      </c>
      <c r="D7" s="26" t="n">
        <v>559</v>
      </c>
      <c r="E7" s="26" t="n">
        <v>550</v>
      </c>
      <c r="F7" s="26" t="n">
        <v>501</v>
      </c>
      <c r="G7" s="26" t="n">
        <v>485</v>
      </c>
      <c r="H7" s="31" t="inlineStr">
        <is>
          <t>FILL</t>
        </is>
      </c>
      <c r="I7" s="19">
        <f>Settings!$B$3</f>
        <v/>
      </c>
      <c r="J7" s="20">
        <f>C7+Settings!$B$3</f>
        <v/>
      </c>
      <c r="K7" s="27" t="n">
        <v>1</v>
      </c>
      <c r="L7" s="27" t="n">
        <v>2</v>
      </c>
      <c r="M7" s="27" t="n">
        <v>2257</v>
      </c>
      <c r="N7" s="27" t="n">
        <v>20</v>
      </c>
      <c r="O7" s="22" t="n">
        <v>1</v>
      </c>
      <c r="P7" s="29" t="inlineStr">
        <is>
          <t>Most competitive. Separate AIIMS counselling via MCC.</t>
        </is>
      </c>
      <c r="Q7" s="24" t="inlineStr">
        <is>
          <t>✓ Yes</t>
        </is>
      </c>
    </row>
    <row r="8" ht="22" customHeight="1">
      <c r="A8" s="16" t="inlineStr">
        <is>
          <t>JIPMER</t>
        </is>
      </c>
      <c r="B8" s="30" t="inlineStr">
        <is>
          <t>Central</t>
        </is>
      </c>
      <c r="C8" s="18" t="n">
        <v>569</v>
      </c>
      <c r="D8" s="18" t="n">
        <v>562</v>
      </c>
      <c r="E8" s="18" t="n">
        <v>561</v>
      </c>
      <c r="F8" s="18" t="n">
        <v>505</v>
      </c>
      <c r="G8" s="18" t="n">
        <v>484</v>
      </c>
      <c r="H8" s="31" t="inlineStr">
        <is>
          <t>FILL</t>
        </is>
      </c>
      <c r="I8" s="19">
        <f>Settings!$B$3</f>
        <v/>
      </c>
      <c r="J8" s="20">
        <f>C8+Settings!$B$3</f>
        <v/>
      </c>
      <c r="K8" s="21" t="n">
        <v>1</v>
      </c>
      <c r="L8" s="21" t="n">
        <v>2</v>
      </c>
      <c r="M8" s="21" t="n">
        <v>243</v>
      </c>
      <c r="N8" s="21" t="n">
        <v>2</v>
      </c>
      <c r="O8" s="22" t="n">
        <v>1</v>
      </c>
      <c r="P8" s="23" t="inlineStr">
        <is>
          <t>Only 2 institutes — Puducherry and Karaikal.</t>
        </is>
      </c>
      <c r="Q8" s="24" t="inlineStr">
        <is>
          <t>✓ Yes</t>
        </is>
      </c>
    </row>
    <row r="9" ht="22" customHeight="1">
      <c r="A9" s="25" t="inlineStr">
        <is>
          <t>Deemed University</t>
        </is>
      </c>
      <c r="B9" s="30" t="inlineStr">
        <is>
          <t>Central</t>
        </is>
      </c>
      <c r="C9" s="26" t="n">
        <v>178</v>
      </c>
      <c r="D9" s="26" t="n">
        <v>178</v>
      </c>
      <c r="E9" s="26" t="n">
        <v>178</v>
      </c>
      <c r="F9" s="26" t="n">
        <v>178</v>
      </c>
      <c r="G9" s="26" t="n">
        <v>178</v>
      </c>
      <c r="H9" s="31" t="inlineStr">
        <is>
          <t>FILL</t>
        </is>
      </c>
      <c r="I9" s="19">
        <f>Settings!$B$3</f>
        <v/>
      </c>
      <c r="J9" s="20">
        <f>C9+Settings!$B$3</f>
        <v/>
      </c>
      <c r="K9" s="27" t="n">
        <v>10</v>
      </c>
      <c r="L9" s="27" t="n">
        <v>35</v>
      </c>
      <c r="M9" s="27" t="n">
        <v>12249</v>
      </c>
      <c r="N9" s="27" t="n">
        <v>58</v>
      </c>
      <c r="O9" s="28" t="n">
        <v>2</v>
      </c>
      <c r="P9" s="29" t="inlineStr">
        <is>
          <t>Qualifying marks only. Wide fee range. MCC conducts.</t>
        </is>
      </c>
      <c r="Q9" s="24" t="inlineStr">
        <is>
          <t>✓ Yes</t>
        </is>
      </c>
    </row>
    <row r="10" ht="22" customHeight="1">
      <c r="A10" s="16" t="inlineStr">
        <is>
          <t>BHU</t>
        </is>
      </c>
      <c r="B10" s="30" t="inlineStr">
        <is>
          <t>Central</t>
        </is>
      </c>
      <c r="C10" s="18" t="n">
        <v>595</v>
      </c>
      <c r="D10" s="18" t="n">
        <v>587</v>
      </c>
      <c r="E10" s="18" t="n">
        <v>590</v>
      </c>
      <c r="F10" s="18" t="n">
        <v>535</v>
      </c>
      <c r="G10" s="18" t="n">
        <v>524</v>
      </c>
      <c r="H10" s="31" t="inlineStr">
        <is>
          <t>FILL</t>
        </is>
      </c>
      <c r="I10" s="19">
        <f>Settings!$B$3</f>
        <v/>
      </c>
      <c r="J10" s="20">
        <f>C10+Settings!$B$3</f>
        <v/>
      </c>
      <c r="K10" s="21" t="n">
        <v>1</v>
      </c>
      <c r="L10" s="21" t="n">
        <v>2</v>
      </c>
      <c r="M10" s="21" t="n">
        <v>100</v>
      </c>
      <c r="N10" s="21" t="n">
        <v>1</v>
      </c>
      <c r="O10" s="22" t="n">
        <v>1</v>
      </c>
      <c r="P10" s="23" t="inlineStr">
        <is>
          <t>Central university. Very competitive.</t>
        </is>
      </c>
      <c r="Q10" s="24" t="inlineStr">
        <is>
          <t>✓ Yes</t>
        </is>
      </c>
    </row>
    <row r="11" ht="22" customHeight="1">
      <c r="A11" s="25" t="inlineStr">
        <is>
          <t>AMU</t>
        </is>
      </c>
      <c r="B11" s="30" t="inlineStr">
        <is>
          <t>Central</t>
        </is>
      </c>
      <c r="C11" s="26" t="n">
        <v>567</v>
      </c>
      <c r="D11" s="26" t="n">
        <v>567</v>
      </c>
      <c r="E11" s="26" t="n">
        <v>567</v>
      </c>
      <c r="F11" s="26" t="n">
        <v>567</v>
      </c>
      <c r="G11" s="26" t="n">
        <v>567</v>
      </c>
      <c r="H11" s="31" t="inlineStr">
        <is>
          <t>FILL</t>
        </is>
      </c>
      <c r="I11" s="19">
        <f>Settings!$B$3</f>
        <v/>
      </c>
      <c r="J11" s="20">
        <f>C11+Settings!$B$3</f>
        <v/>
      </c>
      <c r="K11" s="27" t="n">
        <v>1</v>
      </c>
      <c r="L11" s="27" t="n">
        <v>2</v>
      </c>
      <c r="M11" s="27" t="n">
        <v>150</v>
      </c>
      <c r="N11" s="27" t="n">
        <v>1</v>
      </c>
      <c r="O11" s="22" t="n">
        <v>1</v>
      </c>
      <c r="P11" s="29" t="inlineStr">
        <is>
          <t>Minority institution (Muslim). OBC/EWS not applicable.</t>
        </is>
      </c>
      <c r="Q11" s="24" t="inlineStr">
        <is>
          <t>✓ Yes</t>
        </is>
      </c>
    </row>
    <row r="12" ht="22" customHeight="1">
      <c r="A12" s="16" t="inlineStr">
        <is>
          <t>Karnataka</t>
        </is>
      </c>
      <c r="B12" s="32" t="inlineStr">
        <is>
          <t>Open</t>
        </is>
      </c>
      <c r="C12" s="18" t="n">
        <v>458</v>
      </c>
      <c r="D12" s="18" t="n">
        <v>458</v>
      </c>
      <c r="E12" s="18" t="n">
        <v>458</v>
      </c>
      <c r="F12" s="18" t="n">
        <v>458</v>
      </c>
      <c r="G12" s="18" t="n">
        <v>458</v>
      </c>
      <c r="H12" s="31" t="inlineStr">
        <is>
          <t>FILL</t>
        </is>
      </c>
      <c r="I12" s="19">
        <f>Settings!$B$3</f>
        <v/>
      </c>
      <c r="J12" s="20">
        <f>C12+Settings!$B$3</f>
        <v/>
      </c>
      <c r="K12" s="21" t="n">
        <v>12</v>
      </c>
      <c r="L12" s="21" t="n">
        <v>25</v>
      </c>
      <c r="M12" s="21" t="n">
        <v>951</v>
      </c>
      <c r="N12" s="21" t="n">
        <v>36</v>
      </c>
      <c r="O12" s="28" t="n">
        <v>2</v>
      </c>
      <c r="P12" s="23" t="inlineStr">
        <is>
          <t>20% open quota. No domicile needed. Good quality colleges.</t>
        </is>
      </c>
      <c r="Q12" s="24" t="inlineStr">
        <is>
          <t>✓ Yes</t>
        </is>
      </c>
    </row>
    <row r="13" ht="22" customHeight="1">
      <c r="A13" s="25" t="inlineStr">
        <is>
          <t>Kerala</t>
        </is>
      </c>
      <c r="B13" s="32" t="inlineStr">
        <is>
          <t>Open</t>
        </is>
      </c>
      <c r="C13" s="26" t="n">
        <v>481</v>
      </c>
      <c r="D13" s="26" t="n">
        <v>481</v>
      </c>
      <c r="E13" s="26" t="n">
        <v>481</v>
      </c>
      <c r="F13" s="26" t="n">
        <v>481</v>
      </c>
      <c r="G13" s="26" t="n">
        <v>481</v>
      </c>
      <c r="H13" s="31" t="inlineStr">
        <is>
          <t>FILL</t>
        </is>
      </c>
      <c r="I13" s="19">
        <f>Settings!$B$3</f>
        <v/>
      </c>
      <c r="J13" s="20">
        <f>C13+Settings!$B$3</f>
        <v/>
      </c>
      <c r="K13" s="27" t="n">
        <v>7</v>
      </c>
      <c r="L13" s="27" t="n">
        <v>9</v>
      </c>
      <c r="M13" s="27" t="n">
        <v>510</v>
      </c>
      <c r="N13" s="27" t="n">
        <v>21</v>
      </c>
      <c r="O13" s="28" t="n">
        <v>2</v>
      </c>
      <c r="P13" s="29" t="inlineStr">
        <is>
          <t>15% open seats. Affordable fees. KEA conducts.</t>
        </is>
      </c>
      <c r="Q13" s="24" t="inlineStr">
        <is>
          <t>✓ Yes</t>
        </is>
      </c>
    </row>
    <row r="14" ht="22" customHeight="1">
      <c r="A14" s="16" t="inlineStr">
        <is>
          <t>Telangana</t>
        </is>
      </c>
      <c r="B14" s="32" t="inlineStr">
        <is>
          <t>Open</t>
        </is>
      </c>
      <c r="C14" s="18" t="n">
        <v>436</v>
      </c>
      <c r="D14" s="18" t="n">
        <v>436</v>
      </c>
      <c r="E14" s="18" t="n">
        <v>436</v>
      </c>
      <c r="F14" s="18" t="n">
        <v>436</v>
      </c>
      <c r="G14" s="18" t="n">
        <v>436</v>
      </c>
      <c r="H14" s="31" t="inlineStr">
        <is>
          <t>FILL</t>
        </is>
      </c>
      <c r="I14" s="19">
        <f>Settings!$B$3</f>
        <v/>
      </c>
      <c r="J14" s="20">
        <f>C14+Settings!$B$3</f>
        <v/>
      </c>
      <c r="K14" s="21" t="n">
        <v>11.55</v>
      </c>
      <c r="L14" s="21" t="n">
        <v>15</v>
      </c>
      <c r="M14" s="21" t="n">
        <v>354</v>
      </c>
      <c r="N14" s="21" t="n">
        <v>27</v>
      </c>
      <c r="O14" s="28" t="n">
        <v>2</v>
      </c>
      <c r="P14" s="23" t="inlineStr">
        <is>
          <t>5.25% open seats. KNRUHS conducts.</t>
        </is>
      </c>
      <c r="Q14" s="24" t="inlineStr">
        <is>
          <t>✓ Yes</t>
        </is>
      </c>
    </row>
    <row r="15" ht="22" customHeight="1">
      <c r="A15" s="25" t="inlineStr">
        <is>
          <t>Andhra Pradesh</t>
        </is>
      </c>
      <c r="B15" s="32" t="inlineStr">
        <is>
          <t>Open</t>
        </is>
      </c>
      <c r="C15" s="26" t="n">
        <v>433</v>
      </c>
      <c r="D15" s="26" t="n">
        <v>433</v>
      </c>
      <c r="E15" s="26" t="n">
        <v>433</v>
      </c>
      <c r="F15" s="26" t="n">
        <v>433</v>
      </c>
      <c r="G15" s="26" t="n">
        <v>433</v>
      </c>
      <c r="H15" s="31" t="inlineStr">
        <is>
          <t>FILL</t>
        </is>
      </c>
      <c r="I15" s="19">
        <f>Settings!$B$3</f>
        <v/>
      </c>
      <c r="J15" s="20">
        <f>C15+Settings!$B$3</f>
        <v/>
      </c>
      <c r="K15" s="27" t="n">
        <v>13.2</v>
      </c>
      <c r="L15" s="27" t="n">
        <v>13.2</v>
      </c>
      <c r="M15" s="27" t="n">
        <v>280</v>
      </c>
      <c r="N15" s="27" t="n">
        <v>19</v>
      </c>
      <c r="O15" s="28" t="n">
        <v>2</v>
      </c>
      <c r="P15" s="29" t="inlineStr">
        <is>
          <t>5.25% open seats. Muslim minority 2 colleges cutoff 341.</t>
        </is>
      </c>
      <c r="Q15" s="24" t="inlineStr">
        <is>
          <t>✓ Yes</t>
        </is>
      </c>
    </row>
    <row r="16" ht="22" customHeight="1">
      <c r="A16" s="16" t="inlineStr">
        <is>
          <t>Tamil Nadu</t>
        </is>
      </c>
      <c r="B16" s="32" t="inlineStr">
        <is>
          <t>Open</t>
        </is>
      </c>
      <c r="C16" s="18" t="n">
        <v>285</v>
      </c>
      <c r="D16" s="18" t="n">
        <v>285</v>
      </c>
      <c r="E16" s="18" t="n">
        <v>285</v>
      </c>
      <c r="F16" s="18" t="n">
        <v>285</v>
      </c>
      <c r="G16" s="18" t="n">
        <v>285</v>
      </c>
      <c r="H16" s="31" t="inlineStr">
        <is>
          <t>FILL</t>
        </is>
      </c>
      <c r="I16" s="19">
        <f>Settings!$B$3</f>
        <v/>
      </c>
      <c r="J16" s="20">
        <f>C16+Settings!$B$3</f>
        <v/>
      </c>
      <c r="K16" s="21" t="n">
        <v>13.5</v>
      </c>
      <c r="L16" s="21" t="n">
        <v>16.2</v>
      </c>
      <c r="M16" s="21" t="n">
        <v>769</v>
      </c>
      <c r="N16" s="21" t="n">
        <v>27</v>
      </c>
      <c r="O16" s="28" t="n">
        <v>2</v>
      </c>
      <c r="P16" s="23" t="inlineStr">
        <is>
          <t>35% open — largest open pool. Minority colleges separate.</t>
        </is>
      </c>
      <c r="Q16" s="24" t="inlineStr">
        <is>
          <t>✓ Yes</t>
        </is>
      </c>
    </row>
    <row r="17" ht="22" customHeight="1">
      <c r="A17" s="25" t="inlineStr">
        <is>
          <t>Uttar Pradesh</t>
        </is>
      </c>
      <c r="B17" s="32" t="inlineStr">
        <is>
          <t>Open</t>
        </is>
      </c>
      <c r="C17" s="26" t="n">
        <v>291</v>
      </c>
      <c r="D17" s="26" t="n">
        <v>291</v>
      </c>
      <c r="E17" s="26" t="n">
        <v>291</v>
      </c>
      <c r="F17" s="26" t="n">
        <v>291</v>
      </c>
      <c r="G17" s="26" t="n">
        <v>291</v>
      </c>
      <c r="H17" s="31" t="inlineStr">
        <is>
          <t>FILL</t>
        </is>
      </c>
      <c r="I17" s="19">
        <f>Settings!$B$3</f>
        <v/>
      </c>
      <c r="J17" s="20">
        <f>C17+Settings!$B$3</f>
        <v/>
      </c>
      <c r="K17" s="27" t="n">
        <v>11</v>
      </c>
      <c r="L17" s="27" t="n">
        <v>17</v>
      </c>
      <c r="M17" s="27" t="n">
        <v>7350</v>
      </c>
      <c r="N17" s="27" t="n">
        <v>36</v>
      </c>
      <c r="O17" s="33" t="n">
        <v>3</v>
      </c>
      <c r="P17" s="29" t="inlineStr">
        <is>
          <t>100% open to all. Largest pool nationally. 5450 seats.</t>
        </is>
      </c>
      <c r="Q17" s="24" t="inlineStr">
        <is>
          <t>✓ Yes</t>
        </is>
      </c>
    </row>
    <row r="18" ht="22" customHeight="1">
      <c r="A18" s="16" t="inlineStr">
        <is>
          <t>Haryana</t>
        </is>
      </c>
      <c r="B18" s="32" t="inlineStr">
        <is>
          <t>Open</t>
        </is>
      </c>
      <c r="C18" s="18" t="n">
        <v>243</v>
      </c>
      <c r="D18" s="18" t="n">
        <v>243</v>
      </c>
      <c r="E18" s="18" t="n">
        <v>243</v>
      </c>
      <c r="F18" s="18" t="n">
        <v>243</v>
      </c>
      <c r="G18" s="18" t="n">
        <v>243</v>
      </c>
      <c r="H18" s="31" t="inlineStr">
        <is>
          <t>FILL</t>
        </is>
      </c>
      <c r="I18" s="19">
        <f>Settings!$B$3</f>
        <v/>
      </c>
      <c r="J18" s="20">
        <f>C18+Settings!$B$3</f>
        <v/>
      </c>
      <c r="K18" s="21" t="n">
        <v>12</v>
      </c>
      <c r="L18" s="21" t="n">
        <v>22.5</v>
      </c>
      <c r="M18" s="21" t="n">
        <v>675</v>
      </c>
      <c r="N18" s="21" t="n">
        <v>6</v>
      </c>
      <c r="O18" s="28" t="n">
        <v>2</v>
      </c>
      <c r="P18" s="23" t="inlineStr">
        <is>
          <t>42.5-65% open seats. DMER conducts.</t>
        </is>
      </c>
      <c r="Q18" s="24" t="inlineStr">
        <is>
          <t>✓ Yes</t>
        </is>
      </c>
    </row>
    <row r="19" ht="22" customHeight="1">
      <c r="A19" s="25" t="inlineStr">
        <is>
          <t>Uttarakhand</t>
        </is>
      </c>
      <c r="B19" s="32" t="inlineStr">
        <is>
          <t>Open</t>
        </is>
      </c>
      <c r="C19" s="26" t="n">
        <v>226</v>
      </c>
      <c r="D19" s="26" t="n">
        <v>226</v>
      </c>
      <c r="E19" s="26" t="n">
        <v>226</v>
      </c>
      <c r="F19" s="26" t="n">
        <v>226</v>
      </c>
      <c r="G19" s="26" t="n">
        <v>226</v>
      </c>
      <c r="H19" s="31" t="inlineStr">
        <is>
          <t>FILL</t>
        </is>
      </c>
      <c r="I19" s="19">
        <f>Settings!$B$3</f>
        <v/>
      </c>
      <c r="J19" s="20">
        <f>C19+Settings!$B$3</f>
        <v/>
      </c>
      <c r="K19" s="27" t="n">
        <v>13</v>
      </c>
      <c r="L19" s="27" t="n">
        <v>21</v>
      </c>
      <c r="M19" s="27" t="n">
        <v>245</v>
      </c>
      <c r="N19" s="27" t="n">
        <v>3</v>
      </c>
      <c r="O19" s="28" t="n">
        <v>2</v>
      </c>
      <c r="P19" s="29" t="inlineStr">
        <is>
          <t>50% open seats.</t>
        </is>
      </c>
      <c r="Q19" s="24" t="inlineStr">
        <is>
          <t>✓ Yes</t>
        </is>
      </c>
    </row>
    <row r="20" ht="22" customHeight="1">
      <c r="A20" s="16" t="inlineStr">
        <is>
          <t>Himachal Pradesh</t>
        </is>
      </c>
      <c r="B20" s="32" t="inlineStr">
        <is>
          <t>Open</t>
        </is>
      </c>
      <c r="C20" s="18" t="n">
        <v>262</v>
      </c>
      <c r="D20" s="18" t="n">
        <v>262</v>
      </c>
      <c r="E20" s="18" t="n">
        <v>262</v>
      </c>
      <c r="F20" s="18" t="n">
        <v>262</v>
      </c>
      <c r="G20" s="18" t="n">
        <v>262</v>
      </c>
      <c r="H20" s="31" t="inlineStr">
        <is>
          <t>FILL</t>
        </is>
      </c>
      <c r="I20" s="19">
        <f>Settings!$B$3</f>
        <v/>
      </c>
      <c r="J20" s="20">
        <f>C20+Settings!$B$3</f>
        <v/>
      </c>
      <c r="K20" s="21" t="n">
        <v>15.95</v>
      </c>
      <c r="L20" s="21" t="n">
        <v>15.95</v>
      </c>
      <c r="M20" s="21" t="n">
        <v>89</v>
      </c>
      <c r="N20" s="21" t="n">
        <v>1</v>
      </c>
      <c r="O20" s="28" t="n">
        <v>2</v>
      </c>
      <c r="P20" s="23" t="inlineStr">
        <is>
          <t>60% open. Only 1 college.</t>
        </is>
      </c>
      <c r="Q20" s="24" t="inlineStr">
        <is>
          <t>✓ Yes</t>
        </is>
      </c>
    </row>
    <row r="21" ht="22" customHeight="1">
      <c r="A21" s="25" t="inlineStr">
        <is>
          <t>West Bengal</t>
        </is>
      </c>
      <c r="B21" s="32" t="inlineStr">
        <is>
          <t>Open</t>
        </is>
      </c>
      <c r="C21" s="26" t="n">
        <v>190</v>
      </c>
      <c r="D21" s="26" t="n">
        <v>190</v>
      </c>
      <c r="E21" s="26" t="n">
        <v>190</v>
      </c>
      <c r="F21" s="26" t="n">
        <v>190</v>
      </c>
      <c r="G21" s="26" t="n">
        <v>190</v>
      </c>
      <c r="H21" s="31" t="inlineStr">
        <is>
          <t>FILL</t>
        </is>
      </c>
      <c r="I21" s="19">
        <f>Settings!$B$3</f>
        <v/>
      </c>
      <c r="J21" s="20">
        <f>C21+Settings!$B$3</f>
        <v/>
      </c>
      <c r="K21" s="27" t="n">
        <v>16</v>
      </c>
      <c r="L21" s="27" t="n">
        <v>22</v>
      </c>
      <c r="M21" s="27" t="n">
        <v>1328</v>
      </c>
      <c r="N21" s="27" t="n">
        <v>13</v>
      </c>
      <c r="O21" s="28" t="n">
        <v>2</v>
      </c>
      <c r="P21" s="29" t="inlineStr">
        <is>
          <t>50-65% open seats. Very low cutoff.</t>
        </is>
      </c>
      <c r="Q21" s="24" t="inlineStr">
        <is>
          <t>✓ Yes</t>
        </is>
      </c>
    </row>
    <row r="22" ht="22" customHeight="1">
      <c r="A22" s="16" t="inlineStr">
        <is>
          <t>Bihar</t>
        </is>
      </c>
      <c r="B22" s="32" t="inlineStr">
        <is>
          <t>Open</t>
        </is>
      </c>
      <c r="C22" s="18" t="n">
        <v>228</v>
      </c>
      <c r="D22" s="18" t="n">
        <v>228</v>
      </c>
      <c r="E22" s="18" t="n">
        <v>228</v>
      </c>
      <c r="F22" s="18" t="n">
        <v>228</v>
      </c>
      <c r="G22" s="18" t="n">
        <v>228</v>
      </c>
      <c r="H22" s="31" t="inlineStr">
        <is>
          <t>FILL</t>
        </is>
      </c>
      <c r="I22" s="19">
        <f>Settings!$B$3</f>
        <v/>
      </c>
      <c r="J22" s="20">
        <f>C22+Settings!$B$3</f>
        <v/>
      </c>
      <c r="K22" s="21" t="n">
        <v>9</v>
      </c>
      <c r="L22" s="21" t="n">
        <v>16.5</v>
      </c>
      <c r="M22" s="21" t="n">
        <v>1615</v>
      </c>
      <c r="N22" s="21" t="n">
        <v>12</v>
      </c>
      <c r="O22" s="33" t="n">
        <v>3</v>
      </c>
      <c r="P22" s="23" t="inlineStr">
        <is>
          <t>85% open. SML rank based (not AIR). ₹9-16.5L.</t>
        </is>
      </c>
      <c r="Q22" s="24" t="inlineStr">
        <is>
          <t>✓ Yes</t>
        </is>
      </c>
    </row>
    <row r="23" ht="22" customHeight="1">
      <c r="A23" s="25" t="inlineStr">
        <is>
          <t>Chhattisgarh</t>
        </is>
      </c>
      <c r="B23" s="32" t="inlineStr">
        <is>
          <t>Open</t>
        </is>
      </c>
      <c r="C23" s="26" t="n">
        <v>456</v>
      </c>
      <c r="D23" s="26" t="n">
        <v>456</v>
      </c>
      <c r="E23" s="26" t="n">
        <v>456</v>
      </c>
      <c r="F23" s="26" t="n">
        <v>456</v>
      </c>
      <c r="G23" s="26" t="n">
        <v>456</v>
      </c>
      <c r="H23" s="31" t="inlineStr">
        <is>
          <t>FILL</t>
        </is>
      </c>
      <c r="I23" s="19">
        <f>Settings!$B$3</f>
        <v/>
      </c>
      <c r="J23" s="20">
        <f>C23+Settings!$B$3</f>
        <v/>
      </c>
      <c r="K23" s="27" t="n">
        <v>7</v>
      </c>
      <c r="L23" s="27" t="n">
        <v>8</v>
      </c>
      <c r="M23" s="27" t="n">
        <v>162</v>
      </c>
      <c r="N23" s="27" t="n">
        <v>5</v>
      </c>
      <c r="O23" s="33" t="n">
        <v>3</v>
      </c>
      <c r="P23" s="29" t="inlineStr">
        <is>
          <t>42.5% open. Affordable fees.</t>
        </is>
      </c>
      <c r="Q23" s="24" t="inlineStr">
        <is>
          <t>✓ Yes</t>
        </is>
      </c>
    </row>
    <row r="24" ht="22" customHeight="1">
      <c r="A24" s="16" t="inlineStr">
        <is>
          <t>Rajasthan</t>
        </is>
      </c>
      <c r="B24" s="32" t="inlineStr">
        <is>
          <t>Open</t>
        </is>
      </c>
      <c r="C24" s="18" t="n">
        <v>100</v>
      </c>
      <c r="D24" s="18" t="n">
        <v>100</v>
      </c>
      <c r="E24" s="18" t="n">
        <v>100</v>
      </c>
      <c r="F24" s="18" t="n">
        <v>100</v>
      </c>
      <c r="G24" s="18" t="n">
        <v>100</v>
      </c>
      <c r="H24" s="31" t="inlineStr">
        <is>
          <t>FILL</t>
        </is>
      </c>
      <c r="I24" s="19">
        <f>Settings!$B$3</f>
        <v/>
      </c>
      <c r="J24" s="20">
        <f>C24+Settings!$B$3</f>
        <v/>
      </c>
      <c r="K24" s="21" t="n">
        <v>24</v>
      </c>
      <c r="L24" s="21" t="n">
        <v>35</v>
      </c>
      <c r="M24" s="34" t="inlineStr">
        <is>
          <t>FILL</t>
        </is>
      </c>
      <c r="N24" s="21" t="n">
        <v>12</v>
      </c>
      <c r="O24" s="33" t="n">
        <v>3</v>
      </c>
      <c r="P24" s="23" t="inlineStr">
        <is>
          <t>Offline from Round 3. No official allotment data. Very high fee.</t>
        </is>
      </c>
      <c r="Q24" s="24" t="inlineStr">
        <is>
          <t>✓ Yes</t>
        </is>
      </c>
    </row>
    <row r="25" ht="22" customHeight="1">
      <c r="A25" s="25" t="inlineStr">
        <is>
          <t>Jharkhand</t>
        </is>
      </c>
      <c r="B25" s="32" t="inlineStr">
        <is>
          <t>Open</t>
        </is>
      </c>
      <c r="C25" s="26" t="n">
        <v>221</v>
      </c>
      <c r="D25" s="26" t="n">
        <v>221</v>
      </c>
      <c r="E25" s="26" t="n">
        <v>221</v>
      </c>
      <c r="F25" s="26" t="n">
        <v>221</v>
      </c>
      <c r="G25" s="26" t="n">
        <v>221</v>
      </c>
      <c r="H25" s="31" t="inlineStr">
        <is>
          <t>FILL</t>
        </is>
      </c>
      <c r="I25" s="19">
        <f>Settings!$B$3</f>
        <v/>
      </c>
      <c r="J25" s="20">
        <f>C25+Settings!$B$3</f>
        <v/>
      </c>
      <c r="K25" s="27" t="n">
        <v>11.25</v>
      </c>
      <c r="L25" s="27" t="n">
        <v>16</v>
      </c>
      <c r="M25" s="27" t="n">
        <v>120</v>
      </c>
      <c r="N25" s="27" t="n">
        <v>2</v>
      </c>
      <c r="O25" s="33" t="n">
        <v>3</v>
      </c>
      <c r="P25" s="29" t="inlineStr">
        <is>
          <t>60% open seats.</t>
        </is>
      </c>
      <c r="Q25" s="24" t="inlineStr">
        <is>
          <t>✓ Yes</t>
        </is>
      </c>
    </row>
    <row r="26" ht="22" customHeight="1">
      <c r="A26" s="16" t="inlineStr">
        <is>
          <t>Tripura</t>
        </is>
      </c>
      <c r="B26" s="32" t="inlineStr">
        <is>
          <t>Open</t>
        </is>
      </c>
      <c r="C26" s="18" t="n">
        <v>152</v>
      </c>
      <c r="D26" s="18" t="n">
        <v>152</v>
      </c>
      <c r="E26" s="18" t="n">
        <v>152</v>
      </c>
      <c r="F26" s="18" t="n">
        <v>152</v>
      </c>
      <c r="G26" s="18" t="n">
        <v>152</v>
      </c>
      <c r="H26" s="31" t="inlineStr">
        <is>
          <t>FILL</t>
        </is>
      </c>
      <c r="I26" s="19">
        <f>Settings!$B$3</f>
        <v/>
      </c>
      <c r="J26" s="20">
        <f>C26+Settings!$B$3</f>
        <v/>
      </c>
      <c r="K26" s="21" t="n">
        <v>13.5</v>
      </c>
      <c r="L26" s="21" t="n">
        <v>19.76</v>
      </c>
      <c r="M26" s="21" t="n">
        <v>105</v>
      </c>
      <c r="N26" s="21" t="n">
        <v>2</v>
      </c>
      <c r="O26" s="33" t="n">
        <v>3</v>
      </c>
      <c r="P26" s="23" t="inlineStr">
        <is>
          <t>20% open. Very low cutoff.</t>
        </is>
      </c>
      <c r="Q26" s="24" t="inlineStr">
        <is>
          <t>✓ Yes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4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40" customWidth="1" min="16" max="16"/>
    <col width="10" customWidth="1" min="17" max="17"/>
  </cols>
  <sheetData>
    <row r="1" ht="32" customHeight="1">
      <c r="A1" s="13" t="inlineStr">
        <is>
          <t>ASMI Career — BDS Cutoff Data (2025-26 Actuals)</t>
        </is>
      </c>
    </row>
    <row r="2" ht="18" customHeight="1">
      <c r="A2" s="14" t="inlineStr">
        <is>
          <t>Paper Adjustment is pulled from Settings sheet (currently +15). Projected 2026 = 2025 Actual + Adjustment. YELLOW cells = data needed.</t>
        </is>
      </c>
    </row>
    <row r="3" ht="36" customHeight="1">
      <c r="A3" s="15" t="inlineStr">
        <is>
          <t>State / Process</t>
        </is>
      </c>
      <c r="B3" s="15" t="inlineStr">
        <is>
          <t>Type</t>
        </is>
      </c>
      <c r="C3" s="15" t="inlineStr">
        <is>
          <t>Open Cutoff
2025-26</t>
        </is>
      </c>
      <c r="D3" s="15" t="inlineStr">
        <is>
          <t>OBC Cutoff
2025-26</t>
        </is>
      </c>
      <c r="E3" s="15" t="inlineStr">
        <is>
          <t>EWS Cutoff
2025-26</t>
        </is>
      </c>
      <c r="F3" s="15" t="inlineStr">
        <is>
          <t>SC Cutoff
2025-26</t>
        </is>
      </c>
      <c r="G3" s="15" t="inlineStr">
        <is>
          <t>ST Cutoff
2025-26</t>
        </is>
      </c>
      <c r="H3" s="15" t="inlineStr">
        <is>
          <t>VJ/NT Cutoff
2025-26</t>
        </is>
      </c>
      <c r="I3" s="15" t="inlineStr">
        <is>
          <t>Paper Adj
(from Settings)</t>
        </is>
      </c>
      <c r="J3" s="15" t="inlineStr">
        <is>
          <t>Projected Open
Cutoff 2026</t>
        </is>
      </c>
      <c r="K3" s="15" t="inlineStr">
        <is>
          <t>Fee Min
(L/yr)</t>
        </is>
      </c>
      <c r="L3" s="15" t="inlineStr">
        <is>
          <t>Fee Max
(L/yr)</t>
        </is>
      </c>
      <c r="M3" s="15" t="inlineStr">
        <is>
          <t>Open Seats</t>
        </is>
      </c>
      <c r="N3" s="15" t="inlineStr">
        <is>
          <t>Colleges</t>
        </is>
      </c>
      <c r="O3" s="15" t="inlineStr">
        <is>
          <t>Tier
(1/2/3)</t>
        </is>
      </c>
      <c r="P3" s="15" t="inlineStr">
        <is>
          <t>Notes</t>
        </is>
      </c>
      <c r="Q3" s="15" t="inlineStr">
        <is>
          <t>Data
Complete?</t>
        </is>
      </c>
    </row>
    <row r="4" ht="22" customHeight="1">
      <c r="A4" s="16" t="inlineStr">
        <is>
          <t>MH Government</t>
        </is>
      </c>
      <c r="B4" s="17" t="inlineStr">
        <is>
          <t>State</t>
        </is>
      </c>
      <c r="C4" s="18" t="n">
        <v>420</v>
      </c>
      <c r="D4" s="18" t="n">
        <v>418</v>
      </c>
      <c r="E4" s="18" t="n">
        <v>405</v>
      </c>
      <c r="F4" s="18" t="n">
        <v>350</v>
      </c>
      <c r="G4" s="18" t="n">
        <v>270</v>
      </c>
      <c r="H4" s="18" t="n">
        <v>390</v>
      </c>
      <c r="I4" s="19">
        <f>Settings!$B$3</f>
        <v/>
      </c>
      <c r="J4" s="20">
        <f>C4+Settings!$B$3</f>
        <v/>
      </c>
      <c r="K4" s="21" t="n">
        <v>1</v>
      </c>
      <c r="L4" s="21" t="n">
        <v>2</v>
      </c>
      <c r="M4" s="21" t="n">
        <v>820</v>
      </c>
      <c r="N4" s="21" t="n">
        <v>10</v>
      </c>
      <c r="O4" s="22" t="n">
        <v>1</v>
      </c>
      <c r="P4" s="23" t="inlineStr">
        <is>
          <t>Domicile required.</t>
        </is>
      </c>
      <c r="Q4" s="24" t="inlineStr">
        <is>
          <t>✓ Yes</t>
        </is>
      </c>
    </row>
    <row r="5" ht="22" customHeight="1">
      <c r="A5" s="25" t="inlineStr">
        <is>
          <t>MH Private</t>
        </is>
      </c>
      <c r="B5" s="17" t="inlineStr">
        <is>
          <t>State</t>
        </is>
      </c>
      <c r="C5" s="26" t="n">
        <v>390</v>
      </c>
      <c r="D5" s="26" t="n">
        <v>388</v>
      </c>
      <c r="E5" s="26" t="n">
        <v>385</v>
      </c>
      <c r="F5" s="26" t="n">
        <v>330</v>
      </c>
      <c r="G5" s="26" t="n">
        <v>255</v>
      </c>
      <c r="H5" s="26" t="n">
        <v>370</v>
      </c>
      <c r="I5" s="19">
        <f>Settings!$B$3</f>
        <v/>
      </c>
      <c r="J5" s="20">
        <f>C5+Settings!$B$3</f>
        <v/>
      </c>
      <c r="K5" s="27" t="n">
        <v>5</v>
      </c>
      <c r="L5" s="27" t="n">
        <v>12</v>
      </c>
      <c r="M5" s="27" t="n">
        <v>1800</v>
      </c>
      <c r="N5" s="27" t="n">
        <v>30</v>
      </c>
      <c r="O5" s="28" t="n">
        <v>2</v>
      </c>
      <c r="P5" s="29" t="inlineStr">
        <is>
          <t>85% seats.</t>
        </is>
      </c>
      <c r="Q5" s="24" t="inlineStr">
        <is>
          <t>✓ Yes</t>
        </is>
      </c>
    </row>
    <row r="6" ht="22" customHeight="1">
      <c r="A6" s="16" t="inlineStr">
        <is>
          <t>15% AIQ Government</t>
        </is>
      </c>
      <c r="B6" s="30" t="inlineStr">
        <is>
          <t>Central</t>
        </is>
      </c>
      <c r="C6" s="18" t="n">
        <v>450</v>
      </c>
      <c r="D6" s="18" t="n">
        <v>445</v>
      </c>
      <c r="E6" s="18" t="n">
        <v>440</v>
      </c>
      <c r="F6" s="18" t="n">
        <v>360</v>
      </c>
      <c r="G6" s="18" t="n">
        <v>340</v>
      </c>
      <c r="H6" s="31" t="inlineStr">
        <is>
          <t>FILL</t>
        </is>
      </c>
      <c r="I6" s="19">
        <f>Settings!$B$3</f>
        <v/>
      </c>
      <c r="J6" s="20">
        <f>C6+Settings!$B$3</f>
        <v/>
      </c>
      <c r="K6" s="21" t="n">
        <v>1</v>
      </c>
      <c r="L6" s="21" t="n">
        <v>2</v>
      </c>
      <c r="M6" s="21" t="n">
        <v>2000</v>
      </c>
      <c r="N6" s="21" t="n">
        <v>150</v>
      </c>
      <c r="O6" s="22" t="n">
        <v>1</v>
      </c>
      <c r="P6" s="23" t="inlineStr">
        <is>
          <t>MCC conducts.</t>
        </is>
      </c>
      <c r="Q6" s="24" t="inlineStr">
        <is>
          <t>✓ Yes</t>
        </is>
      </c>
    </row>
    <row r="7" ht="22" customHeight="1">
      <c r="A7" s="25" t="inlineStr">
        <is>
          <t>Deemed University</t>
        </is>
      </c>
      <c r="B7" s="30" t="inlineStr">
        <is>
          <t>Central</t>
        </is>
      </c>
      <c r="C7" s="26" t="n">
        <v>100</v>
      </c>
      <c r="D7" s="26" t="n">
        <v>100</v>
      </c>
      <c r="E7" s="26" t="n">
        <v>100</v>
      </c>
      <c r="F7" s="26" t="n">
        <v>100</v>
      </c>
      <c r="G7" s="26" t="n">
        <v>100</v>
      </c>
      <c r="H7" s="31" t="inlineStr">
        <is>
          <t>FILL</t>
        </is>
      </c>
      <c r="I7" s="19">
        <f>Settings!$B$3</f>
        <v/>
      </c>
      <c r="J7" s="20">
        <f>C7+Settings!$B$3</f>
        <v/>
      </c>
      <c r="K7" s="27" t="n">
        <v>8</v>
      </c>
      <c r="L7" s="27" t="n">
        <v>20</v>
      </c>
      <c r="M7" s="27" t="n">
        <v>4000</v>
      </c>
      <c r="N7" s="27" t="n">
        <v>40</v>
      </c>
      <c r="O7" s="28" t="n">
        <v>2</v>
      </c>
      <c r="P7" s="29" t="inlineStr">
        <is>
          <t>Very accessible.</t>
        </is>
      </c>
      <c r="Q7" s="24" t="inlineStr">
        <is>
          <t>✓ Yes</t>
        </is>
      </c>
    </row>
    <row r="8" ht="22" customHeight="1">
      <c r="A8" s="16" t="inlineStr">
        <is>
          <t>Karnataka</t>
        </is>
      </c>
      <c r="B8" s="32" t="inlineStr">
        <is>
          <t>Open</t>
        </is>
      </c>
      <c r="C8" s="18" t="n">
        <v>380</v>
      </c>
      <c r="D8" s="18" t="n">
        <v>380</v>
      </c>
      <c r="E8" s="18" t="n">
        <v>380</v>
      </c>
      <c r="F8" s="18" t="n">
        <v>380</v>
      </c>
      <c r="G8" s="18" t="n">
        <v>380</v>
      </c>
      <c r="H8" s="31" t="inlineStr">
        <is>
          <t>FILL</t>
        </is>
      </c>
      <c r="I8" s="19">
        <f>Settings!$B$3</f>
        <v/>
      </c>
      <c r="J8" s="20">
        <f>C8+Settings!$B$3</f>
        <v/>
      </c>
      <c r="K8" s="21" t="n">
        <v>10</v>
      </c>
      <c r="L8" s="21" t="n">
        <v>20</v>
      </c>
      <c r="M8" s="21" t="n">
        <v>400</v>
      </c>
      <c r="N8" s="21" t="n">
        <v>20</v>
      </c>
      <c r="O8" s="28" t="n">
        <v>2</v>
      </c>
      <c r="P8" s="23" t="inlineStr">
        <is>
          <t>20% open quota.</t>
        </is>
      </c>
      <c r="Q8" s="24" t="inlineStr">
        <is>
          <t>✓ Yes</t>
        </is>
      </c>
    </row>
    <row r="9" ht="22" customHeight="1">
      <c r="A9" s="25" t="inlineStr">
        <is>
          <t>Telangana</t>
        </is>
      </c>
      <c r="B9" s="32" t="inlineStr">
        <is>
          <t>Open</t>
        </is>
      </c>
      <c r="C9" s="26" t="n">
        <v>360</v>
      </c>
      <c r="D9" s="26" t="n">
        <v>360</v>
      </c>
      <c r="E9" s="26" t="n">
        <v>360</v>
      </c>
      <c r="F9" s="26" t="n">
        <v>360</v>
      </c>
      <c r="G9" s="26" t="n">
        <v>360</v>
      </c>
      <c r="H9" s="31" t="inlineStr">
        <is>
          <t>FILL</t>
        </is>
      </c>
      <c r="I9" s="19">
        <f>Settings!$B$3</f>
        <v/>
      </c>
      <c r="J9" s="20">
        <f>C9+Settings!$B$3</f>
        <v/>
      </c>
      <c r="K9" s="27" t="n">
        <v>10</v>
      </c>
      <c r="L9" s="27" t="n">
        <v>13</v>
      </c>
      <c r="M9" s="27" t="n">
        <v>150</v>
      </c>
      <c r="N9" s="27" t="n">
        <v>12</v>
      </c>
      <c r="O9" s="28" t="n">
        <v>2</v>
      </c>
      <c r="P9" s="29" t="inlineStr">
        <is>
          <t>Low cutoff for BDS.</t>
        </is>
      </c>
      <c r="Q9" s="24" t="inlineStr">
        <is>
          <t>✓ Yes</t>
        </is>
      </c>
    </row>
    <row r="10" ht="22" customHeight="1">
      <c r="A10" s="16" t="inlineStr">
        <is>
          <t>Uttar Pradesh</t>
        </is>
      </c>
      <c r="B10" s="32" t="inlineStr">
        <is>
          <t>Open</t>
        </is>
      </c>
      <c r="C10" s="18" t="n">
        <v>220</v>
      </c>
      <c r="D10" s="18" t="n">
        <v>220</v>
      </c>
      <c r="E10" s="18" t="n">
        <v>220</v>
      </c>
      <c r="F10" s="18" t="n">
        <v>220</v>
      </c>
      <c r="G10" s="18" t="n">
        <v>220</v>
      </c>
      <c r="H10" s="31" t="inlineStr">
        <is>
          <t>FILL</t>
        </is>
      </c>
      <c r="I10" s="19">
        <f>Settings!$B$3</f>
        <v/>
      </c>
      <c r="J10" s="20">
        <f>C10+Settings!$B$3</f>
        <v/>
      </c>
      <c r="K10" s="21" t="n">
        <v>8</v>
      </c>
      <c r="L10" s="21" t="n">
        <v>14</v>
      </c>
      <c r="M10" s="21" t="n">
        <v>2000</v>
      </c>
      <c r="N10" s="21" t="n">
        <v>25</v>
      </c>
      <c r="O10" s="33" t="n">
        <v>3</v>
      </c>
      <c r="P10" s="23" t="inlineStr">
        <is>
          <t>Very accessible. 100% open.</t>
        </is>
      </c>
      <c r="Q10" s="24" t="inlineStr">
        <is>
          <t>✓ Yes</t>
        </is>
      </c>
    </row>
    <row r="11" ht="22" customHeight="1">
      <c r="A11" s="25" t="inlineStr">
        <is>
          <t>Andhra Pradesh</t>
        </is>
      </c>
      <c r="B11" s="32" t="inlineStr">
        <is>
          <t>Open</t>
        </is>
      </c>
      <c r="C11" s="31" t="inlineStr">
        <is>
          <t>FILL</t>
        </is>
      </c>
      <c r="D11" s="31" t="inlineStr">
        <is>
          <t>FILL</t>
        </is>
      </c>
      <c r="E11" s="31" t="inlineStr">
        <is>
          <t>FILL</t>
        </is>
      </c>
      <c r="F11" s="31" t="inlineStr">
        <is>
          <t>FILL</t>
        </is>
      </c>
      <c r="G11" s="31" t="inlineStr">
        <is>
          <t>FILL</t>
        </is>
      </c>
      <c r="H11" s="31" t="inlineStr">
        <is>
          <t>FILL</t>
        </is>
      </c>
      <c r="I11" s="19">
        <f>Settings!$B$3</f>
        <v/>
      </c>
      <c r="J11" s="35" t="inlineStr">
        <is>
          <t>—</t>
        </is>
      </c>
      <c r="K11" s="34" t="inlineStr">
        <is>
          <t>FILL</t>
        </is>
      </c>
      <c r="L11" s="34" t="inlineStr">
        <is>
          <t>FILL</t>
        </is>
      </c>
      <c r="M11" s="34" t="inlineStr">
        <is>
          <t>FILL</t>
        </is>
      </c>
      <c r="N11" s="34" t="inlineStr">
        <is>
          <t>FILL</t>
        </is>
      </c>
      <c r="O11" s="28" t="n">
        <v>2</v>
      </c>
      <c r="P11" s="29" t="inlineStr">
        <is>
          <t>Data to be filled</t>
        </is>
      </c>
      <c r="Q11" s="36" t="inlineStr">
        <is>
          <t>⚠ Fill</t>
        </is>
      </c>
    </row>
    <row r="12" ht="22" customHeight="1">
      <c r="A12" s="16" t="inlineStr">
        <is>
          <t>Tamil Nadu</t>
        </is>
      </c>
      <c r="B12" s="32" t="inlineStr">
        <is>
          <t>Open</t>
        </is>
      </c>
      <c r="C12" s="31" t="inlineStr">
        <is>
          <t>FILL</t>
        </is>
      </c>
      <c r="D12" s="31" t="inlineStr">
        <is>
          <t>FILL</t>
        </is>
      </c>
      <c r="E12" s="31" t="inlineStr">
        <is>
          <t>FILL</t>
        </is>
      </c>
      <c r="F12" s="31" t="inlineStr">
        <is>
          <t>FILL</t>
        </is>
      </c>
      <c r="G12" s="31" t="inlineStr">
        <is>
          <t>FILL</t>
        </is>
      </c>
      <c r="H12" s="31" t="inlineStr">
        <is>
          <t>FILL</t>
        </is>
      </c>
      <c r="I12" s="19">
        <f>Settings!$B$3</f>
        <v/>
      </c>
      <c r="J12" s="35" t="inlineStr">
        <is>
          <t>—</t>
        </is>
      </c>
      <c r="K12" s="34" t="inlineStr">
        <is>
          <t>FILL</t>
        </is>
      </c>
      <c r="L12" s="34" t="inlineStr">
        <is>
          <t>FILL</t>
        </is>
      </c>
      <c r="M12" s="34" t="inlineStr">
        <is>
          <t>FILL</t>
        </is>
      </c>
      <c r="N12" s="34" t="inlineStr">
        <is>
          <t>FILL</t>
        </is>
      </c>
      <c r="O12" s="28" t="n">
        <v>2</v>
      </c>
      <c r="P12" s="23" t="inlineStr">
        <is>
          <t>Data to be filled</t>
        </is>
      </c>
      <c r="Q12" s="36" t="inlineStr">
        <is>
          <t>⚠ Fill</t>
        </is>
      </c>
    </row>
    <row r="13" ht="22" customHeight="1">
      <c r="A13" s="25" t="inlineStr">
        <is>
          <t>Kerala</t>
        </is>
      </c>
      <c r="B13" s="32" t="inlineStr">
        <is>
          <t>Open</t>
        </is>
      </c>
      <c r="C13" s="31" t="inlineStr">
        <is>
          <t>FILL</t>
        </is>
      </c>
      <c r="D13" s="31" t="inlineStr">
        <is>
          <t>FILL</t>
        </is>
      </c>
      <c r="E13" s="31" t="inlineStr">
        <is>
          <t>FILL</t>
        </is>
      </c>
      <c r="F13" s="31" t="inlineStr">
        <is>
          <t>FILL</t>
        </is>
      </c>
      <c r="G13" s="31" t="inlineStr">
        <is>
          <t>FILL</t>
        </is>
      </c>
      <c r="H13" s="31" t="inlineStr">
        <is>
          <t>FILL</t>
        </is>
      </c>
      <c r="I13" s="19">
        <f>Settings!$B$3</f>
        <v/>
      </c>
      <c r="J13" s="35" t="inlineStr">
        <is>
          <t>—</t>
        </is>
      </c>
      <c r="K13" s="34" t="inlineStr">
        <is>
          <t>FILL</t>
        </is>
      </c>
      <c r="L13" s="34" t="inlineStr">
        <is>
          <t>FILL</t>
        </is>
      </c>
      <c r="M13" s="34" t="inlineStr">
        <is>
          <t>FILL</t>
        </is>
      </c>
      <c r="N13" s="34" t="inlineStr">
        <is>
          <t>FILL</t>
        </is>
      </c>
      <c r="O13" s="28" t="n">
        <v>2</v>
      </c>
      <c r="P13" s="29" t="inlineStr">
        <is>
          <t>Data to be filled</t>
        </is>
      </c>
      <c r="Q13" s="36" t="inlineStr">
        <is>
          <t>⚠ Fill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4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40" customWidth="1" min="16" max="16"/>
    <col width="10" customWidth="1" min="17" max="17"/>
  </cols>
  <sheetData>
    <row r="1" ht="32" customHeight="1">
      <c r="A1" s="13" t="inlineStr">
        <is>
          <t>ASMI Career — BAMS Cutoff Data (2025-26 Actuals)</t>
        </is>
      </c>
    </row>
    <row r="2" ht="18" customHeight="1">
      <c r="A2" s="14" t="inlineStr">
        <is>
          <t>Paper Adjustment is pulled from Settings sheet (currently +15). Projected 2026 = 2025 Actual + Adjustment. YELLOW cells = data needed.</t>
        </is>
      </c>
    </row>
    <row r="3" ht="36" customHeight="1">
      <c r="A3" s="15" t="inlineStr">
        <is>
          <t>State / Process</t>
        </is>
      </c>
      <c r="B3" s="15" t="inlineStr">
        <is>
          <t>Type</t>
        </is>
      </c>
      <c r="C3" s="15" t="inlineStr">
        <is>
          <t>Open Cutoff
2025-26</t>
        </is>
      </c>
      <c r="D3" s="15" t="inlineStr">
        <is>
          <t>OBC Cutoff
2025-26</t>
        </is>
      </c>
      <c r="E3" s="15" t="inlineStr">
        <is>
          <t>EWS Cutoff
2025-26</t>
        </is>
      </c>
      <c r="F3" s="15" t="inlineStr">
        <is>
          <t>SC Cutoff
2025-26</t>
        </is>
      </c>
      <c r="G3" s="15" t="inlineStr">
        <is>
          <t>ST Cutoff
2025-26</t>
        </is>
      </c>
      <c r="H3" s="15" t="inlineStr">
        <is>
          <t>VJ/NT Cutoff
2025-26</t>
        </is>
      </c>
      <c r="I3" s="15" t="inlineStr">
        <is>
          <t>Paper Adj
(from Settings)</t>
        </is>
      </c>
      <c r="J3" s="15" t="inlineStr">
        <is>
          <t>Projected Open
Cutoff 2026</t>
        </is>
      </c>
      <c r="K3" s="15" t="inlineStr">
        <is>
          <t>Fee Min
(L/yr)</t>
        </is>
      </c>
      <c r="L3" s="15" t="inlineStr">
        <is>
          <t>Fee Max
(L/yr)</t>
        </is>
      </c>
      <c r="M3" s="15" t="inlineStr">
        <is>
          <t>Open Seats</t>
        </is>
      </c>
      <c r="N3" s="15" t="inlineStr">
        <is>
          <t>Colleges</t>
        </is>
      </c>
      <c r="O3" s="15" t="inlineStr">
        <is>
          <t>Tier
(1/2/3)</t>
        </is>
      </c>
      <c r="P3" s="15" t="inlineStr">
        <is>
          <t>Notes</t>
        </is>
      </c>
      <c r="Q3" s="15" t="inlineStr">
        <is>
          <t>Data
Complete?</t>
        </is>
      </c>
    </row>
    <row r="4" ht="22" customHeight="1">
      <c r="A4" s="16" t="inlineStr">
        <is>
          <t>MH Government</t>
        </is>
      </c>
      <c r="B4" s="17" t="inlineStr">
        <is>
          <t>State</t>
        </is>
      </c>
      <c r="C4" s="18" t="n">
        <v>330</v>
      </c>
      <c r="D4" s="18" t="n">
        <v>325</v>
      </c>
      <c r="E4" s="18" t="n">
        <v>310</v>
      </c>
      <c r="F4" s="18" t="n">
        <v>250</v>
      </c>
      <c r="G4" s="18" t="n">
        <v>180</v>
      </c>
      <c r="H4" s="18" t="n">
        <v>300</v>
      </c>
      <c r="I4" s="19">
        <f>Settings!$B$3</f>
        <v/>
      </c>
      <c r="J4" s="20">
        <f>C4+Settings!$B$3</f>
        <v/>
      </c>
      <c r="K4" s="21" t="n">
        <v>1</v>
      </c>
      <c r="L4" s="21" t="n">
        <v>2</v>
      </c>
      <c r="M4" s="21" t="n">
        <v>1200</v>
      </c>
      <c r="N4" s="21" t="n">
        <v>15</v>
      </c>
      <c r="O4" s="22" t="n">
        <v>1</v>
      </c>
      <c r="P4" s="23" t="inlineStr">
        <is>
          <t>85% seats. Domicile required.</t>
        </is>
      </c>
      <c r="Q4" s="24" t="inlineStr">
        <is>
          <t>✓ Yes</t>
        </is>
      </c>
    </row>
    <row r="5" ht="22" customHeight="1">
      <c r="A5" s="25" t="inlineStr">
        <is>
          <t>MH Private</t>
        </is>
      </c>
      <c r="B5" s="17" t="inlineStr">
        <is>
          <t>State</t>
        </is>
      </c>
      <c r="C5" s="26" t="n">
        <v>300</v>
      </c>
      <c r="D5" s="26" t="n">
        <v>295</v>
      </c>
      <c r="E5" s="26" t="n">
        <v>290</v>
      </c>
      <c r="F5" s="26" t="n">
        <v>220</v>
      </c>
      <c r="G5" s="26" t="n">
        <v>155</v>
      </c>
      <c r="H5" s="26" t="n">
        <v>270</v>
      </c>
      <c r="I5" s="19">
        <f>Settings!$B$3</f>
        <v/>
      </c>
      <c r="J5" s="20">
        <f>C5+Settings!$B$3</f>
        <v/>
      </c>
      <c r="K5" s="27" t="n">
        <v>3</v>
      </c>
      <c r="L5" s="27" t="n">
        <v>8</v>
      </c>
      <c r="M5" s="27" t="n">
        <v>2800</v>
      </c>
      <c r="N5" s="27" t="n">
        <v>60</v>
      </c>
      <c r="O5" s="28" t="n">
        <v>2</v>
      </c>
      <c r="P5" s="29" t="inlineStr">
        <is>
          <t>Good availability.</t>
        </is>
      </c>
      <c r="Q5" s="24" t="inlineStr">
        <is>
          <t>✓ Yes</t>
        </is>
      </c>
    </row>
    <row r="6" ht="22" customHeight="1">
      <c r="A6" s="16" t="inlineStr">
        <is>
          <t>All India AYUSH AIQ</t>
        </is>
      </c>
      <c r="B6" s="30" t="inlineStr">
        <is>
          <t>Central</t>
        </is>
      </c>
      <c r="C6" s="18" t="n">
        <v>300</v>
      </c>
      <c r="D6" s="18" t="n">
        <v>295</v>
      </c>
      <c r="E6" s="18" t="n">
        <v>290</v>
      </c>
      <c r="F6" s="18" t="n">
        <v>220</v>
      </c>
      <c r="G6" s="18" t="n">
        <v>190</v>
      </c>
      <c r="H6" s="31" t="inlineStr">
        <is>
          <t>FILL</t>
        </is>
      </c>
      <c r="I6" s="19">
        <f>Settings!$B$3</f>
        <v/>
      </c>
      <c r="J6" s="20">
        <f>C6+Settings!$B$3</f>
        <v/>
      </c>
      <c r="K6" s="21" t="n">
        <v>1</v>
      </c>
      <c r="L6" s="21" t="n">
        <v>5</v>
      </c>
      <c r="M6" s="21" t="n">
        <v>3000</v>
      </c>
      <c r="N6" s="21" t="n">
        <v>100</v>
      </c>
      <c r="O6" s="22" t="n">
        <v>1</v>
      </c>
      <c r="P6" s="23" t="inlineStr">
        <is>
          <t>15% AIQ govt seats. AACCC conducts.</t>
        </is>
      </c>
      <c r="Q6" s="24" t="inlineStr">
        <is>
          <t>✓ Yes</t>
        </is>
      </c>
    </row>
    <row r="7" ht="22" customHeight="1">
      <c r="A7" s="25" t="inlineStr">
        <is>
          <t>Deemed AYUSH</t>
        </is>
      </c>
      <c r="B7" s="30" t="inlineStr">
        <is>
          <t>Central</t>
        </is>
      </c>
      <c r="C7" s="26" t="n">
        <v>100</v>
      </c>
      <c r="D7" s="26" t="n">
        <v>100</v>
      </c>
      <c r="E7" s="26" t="n">
        <v>100</v>
      </c>
      <c r="F7" s="26" t="n">
        <v>100</v>
      </c>
      <c r="G7" s="26" t="n">
        <v>100</v>
      </c>
      <c r="H7" s="31" t="inlineStr">
        <is>
          <t>FILL</t>
        </is>
      </c>
      <c r="I7" s="19">
        <f>Settings!$B$3</f>
        <v/>
      </c>
      <c r="J7" s="20">
        <f>C7+Settings!$B$3</f>
        <v/>
      </c>
      <c r="K7" s="27" t="n">
        <v>5</v>
      </c>
      <c r="L7" s="27" t="n">
        <v>15</v>
      </c>
      <c r="M7" s="27" t="n">
        <v>5000</v>
      </c>
      <c r="N7" s="27" t="n">
        <v>80</v>
      </c>
      <c r="O7" s="28" t="n">
        <v>2</v>
      </c>
      <c r="P7" s="29" t="inlineStr">
        <is>
          <t>Highly accessible.</t>
        </is>
      </c>
      <c r="Q7" s="24" t="inlineStr">
        <is>
          <t>✓ Yes</t>
        </is>
      </c>
    </row>
    <row r="8" ht="22" customHeight="1">
      <c r="A8" s="16" t="inlineStr">
        <is>
          <t>Karnataka AYUSH</t>
        </is>
      </c>
      <c r="B8" s="32" t="inlineStr">
        <is>
          <t>Open</t>
        </is>
      </c>
      <c r="C8" s="18" t="n">
        <v>280</v>
      </c>
      <c r="D8" s="18" t="n">
        <v>280</v>
      </c>
      <c r="E8" s="18" t="n">
        <v>280</v>
      </c>
      <c r="F8" s="18" t="n">
        <v>280</v>
      </c>
      <c r="G8" s="18" t="n">
        <v>280</v>
      </c>
      <c r="H8" s="31" t="inlineStr">
        <is>
          <t>FILL</t>
        </is>
      </c>
      <c r="I8" s="19">
        <f>Settings!$B$3</f>
        <v/>
      </c>
      <c r="J8" s="20">
        <f>C8+Settings!$B$3</f>
        <v/>
      </c>
      <c r="K8" s="21" t="n">
        <v>5</v>
      </c>
      <c r="L8" s="21" t="n">
        <v>10</v>
      </c>
      <c r="M8" s="21" t="n">
        <v>800</v>
      </c>
      <c r="N8" s="21" t="n">
        <v>30</v>
      </c>
      <c r="O8" s="28" t="n">
        <v>2</v>
      </c>
      <c r="P8" s="23" t="inlineStr">
        <is>
          <t>Open quota available.</t>
        </is>
      </c>
      <c r="Q8" s="24" t="inlineStr">
        <is>
          <t>✓ Yes</t>
        </is>
      </c>
    </row>
    <row r="9" ht="22" customHeight="1">
      <c r="A9" s="25" t="inlineStr">
        <is>
          <t>Uttar Pradesh AYUSH</t>
        </is>
      </c>
      <c r="B9" s="32" t="inlineStr">
        <is>
          <t>Open</t>
        </is>
      </c>
      <c r="C9" s="26" t="n">
        <v>180</v>
      </c>
      <c r="D9" s="26" t="n">
        <v>180</v>
      </c>
      <c r="E9" s="26" t="n">
        <v>180</v>
      </c>
      <c r="F9" s="26" t="n">
        <v>180</v>
      </c>
      <c r="G9" s="26" t="n">
        <v>180</v>
      </c>
      <c r="H9" s="31" t="inlineStr">
        <is>
          <t>FILL</t>
        </is>
      </c>
      <c r="I9" s="19">
        <f>Settings!$B$3</f>
        <v/>
      </c>
      <c r="J9" s="20">
        <f>C9+Settings!$B$3</f>
        <v/>
      </c>
      <c r="K9" s="27" t="n">
        <v>3</v>
      </c>
      <c r="L9" s="27" t="n">
        <v>8</v>
      </c>
      <c r="M9" s="27" t="n">
        <v>2000</v>
      </c>
      <c r="N9" s="27" t="n">
        <v>40</v>
      </c>
      <c r="O9" s="33" t="n">
        <v>3</v>
      </c>
      <c r="P9" s="29" t="inlineStr">
        <is>
          <t>Very accessible.</t>
        </is>
      </c>
      <c r="Q9" s="24" t="inlineStr">
        <is>
          <t>✓ Yes</t>
        </is>
      </c>
    </row>
    <row r="10" ht="22" customHeight="1">
      <c r="A10" s="16" t="inlineStr">
        <is>
          <t>Gujarat AYUSH</t>
        </is>
      </c>
      <c r="B10" s="32" t="inlineStr">
        <is>
          <t>Open</t>
        </is>
      </c>
      <c r="C10" s="31" t="inlineStr">
        <is>
          <t>FILL</t>
        </is>
      </c>
      <c r="D10" s="31" t="inlineStr">
        <is>
          <t>FILL</t>
        </is>
      </c>
      <c r="E10" s="31" t="inlineStr">
        <is>
          <t>FILL</t>
        </is>
      </c>
      <c r="F10" s="31" t="inlineStr">
        <is>
          <t>FILL</t>
        </is>
      </c>
      <c r="G10" s="31" t="inlineStr">
        <is>
          <t>FILL</t>
        </is>
      </c>
      <c r="H10" s="31" t="inlineStr">
        <is>
          <t>FILL</t>
        </is>
      </c>
      <c r="I10" s="19">
        <f>Settings!$B$3</f>
        <v/>
      </c>
      <c r="J10" s="35" t="inlineStr">
        <is>
          <t>—</t>
        </is>
      </c>
      <c r="K10" s="34" t="inlineStr">
        <is>
          <t>FILL</t>
        </is>
      </c>
      <c r="L10" s="34" t="inlineStr">
        <is>
          <t>FILL</t>
        </is>
      </c>
      <c r="M10" s="34" t="inlineStr">
        <is>
          <t>FILL</t>
        </is>
      </c>
      <c r="N10" s="34" t="inlineStr">
        <is>
          <t>FILL</t>
        </is>
      </c>
      <c r="O10" s="28" t="n">
        <v>2</v>
      </c>
      <c r="P10" s="23" t="inlineStr">
        <is>
          <t>Data to be filled</t>
        </is>
      </c>
      <c r="Q10" s="36" t="inlineStr">
        <is>
          <t>⚠ Fill</t>
        </is>
      </c>
    </row>
    <row r="11" ht="22" customHeight="1">
      <c r="A11" s="25" t="inlineStr">
        <is>
          <t>Rajasthan AYUSH</t>
        </is>
      </c>
      <c r="B11" s="32" t="inlineStr">
        <is>
          <t>Open</t>
        </is>
      </c>
      <c r="C11" s="31" t="inlineStr">
        <is>
          <t>FILL</t>
        </is>
      </c>
      <c r="D11" s="31" t="inlineStr">
        <is>
          <t>FILL</t>
        </is>
      </c>
      <c r="E11" s="31" t="inlineStr">
        <is>
          <t>FILL</t>
        </is>
      </c>
      <c r="F11" s="31" t="inlineStr">
        <is>
          <t>FILL</t>
        </is>
      </c>
      <c r="G11" s="31" t="inlineStr">
        <is>
          <t>FILL</t>
        </is>
      </c>
      <c r="H11" s="31" t="inlineStr">
        <is>
          <t>FILL</t>
        </is>
      </c>
      <c r="I11" s="19">
        <f>Settings!$B$3</f>
        <v/>
      </c>
      <c r="J11" s="35" t="inlineStr">
        <is>
          <t>—</t>
        </is>
      </c>
      <c r="K11" s="34" t="inlineStr">
        <is>
          <t>FILL</t>
        </is>
      </c>
      <c r="L11" s="34" t="inlineStr">
        <is>
          <t>FILL</t>
        </is>
      </c>
      <c r="M11" s="34" t="inlineStr">
        <is>
          <t>FILL</t>
        </is>
      </c>
      <c r="N11" s="34" t="inlineStr">
        <is>
          <t>FILL</t>
        </is>
      </c>
      <c r="O11" s="28" t="n">
        <v>2</v>
      </c>
      <c r="P11" s="29" t="inlineStr">
        <is>
          <t>Data to be filled</t>
        </is>
      </c>
      <c r="Q11" s="36" t="inlineStr">
        <is>
          <t>⚠ Fill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4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40" customWidth="1" min="16" max="16"/>
    <col width="10" customWidth="1" min="17" max="17"/>
  </cols>
  <sheetData>
    <row r="1" ht="32" customHeight="1">
      <c r="A1" s="13" t="inlineStr">
        <is>
          <t>ASMI Career — BHMS Cutoff Data (2025-26 Actuals)</t>
        </is>
      </c>
    </row>
    <row r="2" ht="18" customHeight="1">
      <c r="A2" s="14" t="inlineStr">
        <is>
          <t>Paper Adjustment is pulled from Settings sheet (currently +15). Projected 2026 = 2025 Actual + Adjustment. YELLOW cells = data needed.</t>
        </is>
      </c>
    </row>
    <row r="3" ht="36" customHeight="1">
      <c r="A3" s="15" t="inlineStr">
        <is>
          <t>State / Process</t>
        </is>
      </c>
      <c r="B3" s="15" t="inlineStr">
        <is>
          <t>Type</t>
        </is>
      </c>
      <c r="C3" s="15" t="inlineStr">
        <is>
          <t>Open Cutoff
2025-26</t>
        </is>
      </c>
      <c r="D3" s="15" t="inlineStr">
        <is>
          <t>OBC Cutoff
2025-26</t>
        </is>
      </c>
      <c r="E3" s="15" t="inlineStr">
        <is>
          <t>EWS Cutoff
2025-26</t>
        </is>
      </c>
      <c r="F3" s="15" t="inlineStr">
        <is>
          <t>SC Cutoff
2025-26</t>
        </is>
      </c>
      <c r="G3" s="15" t="inlineStr">
        <is>
          <t>ST Cutoff
2025-26</t>
        </is>
      </c>
      <c r="H3" s="15" t="inlineStr">
        <is>
          <t>VJ/NT Cutoff
2025-26</t>
        </is>
      </c>
      <c r="I3" s="15" t="inlineStr">
        <is>
          <t>Paper Adj
(from Settings)</t>
        </is>
      </c>
      <c r="J3" s="15" t="inlineStr">
        <is>
          <t>Projected Open
Cutoff 2026</t>
        </is>
      </c>
      <c r="K3" s="15" t="inlineStr">
        <is>
          <t>Fee Min
(L/yr)</t>
        </is>
      </c>
      <c r="L3" s="15" t="inlineStr">
        <is>
          <t>Fee Max
(L/yr)</t>
        </is>
      </c>
      <c r="M3" s="15" t="inlineStr">
        <is>
          <t>Open Seats</t>
        </is>
      </c>
      <c r="N3" s="15" t="inlineStr">
        <is>
          <t>Colleges</t>
        </is>
      </c>
      <c r="O3" s="15" t="inlineStr">
        <is>
          <t>Tier
(1/2/3)</t>
        </is>
      </c>
      <c r="P3" s="15" t="inlineStr">
        <is>
          <t>Notes</t>
        </is>
      </c>
      <c r="Q3" s="15" t="inlineStr">
        <is>
          <t>Data
Complete?</t>
        </is>
      </c>
    </row>
    <row r="4" ht="22" customHeight="1">
      <c r="A4" s="16" t="inlineStr">
        <is>
          <t>MH Government</t>
        </is>
      </c>
      <c r="B4" s="17" t="inlineStr">
        <is>
          <t>State</t>
        </is>
      </c>
      <c r="C4" s="18" t="n">
        <v>310</v>
      </c>
      <c r="D4" s="18" t="n">
        <v>305</v>
      </c>
      <c r="E4" s="18" t="n">
        <v>295</v>
      </c>
      <c r="F4" s="18" t="n">
        <v>230</v>
      </c>
      <c r="G4" s="18" t="n">
        <v>165</v>
      </c>
      <c r="H4" s="18" t="n">
        <v>280</v>
      </c>
      <c r="I4" s="19">
        <f>Settings!$B$3</f>
        <v/>
      </c>
      <c r="J4" s="20">
        <f>C4+Settings!$B$3</f>
        <v/>
      </c>
      <c r="K4" s="21" t="n">
        <v>1</v>
      </c>
      <c r="L4" s="21" t="n">
        <v>2</v>
      </c>
      <c r="M4" s="21" t="n">
        <v>900</v>
      </c>
      <c r="N4" s="21" t="n">
        <v>12</v>
      </c>
      <c r="O4" s="22" t="n">
        <v>1</v>
      </c>
      <c r="P4" s="23" t="inlineStr">
        <is>
          <t>85% seats. Domicile required.</t>
        </is>
      </c>
      <c r="Q4" s="24" t="inlineStr">
        <is>
          <t>✓ Yes</t>
        </is>
      </c>
    </row>
    <row r="5" ht="22" customHeight="1">
      <c r="A5" s="25" t="inlineStr">
        <is>
          <t>MH Private</t>
        </is>
      </c>
      <c r="B5" s="17" t="inlineStr">
        <is>
          <t>State</t>
        </is>
      </c>
      <c r="C5" s="26" t="n">
        <v>280</v>
      </c>
      <c r="D5" s="26" t="n">
        <v>275</v>
      </c>
      <c r="E5" s="26" t="n">
        <v>270</v>
      </c>
      <c r="F5" s="26" t="n">
        <v>200</v>
      </c>
      <c r="G5" s="26" t="n">
        <v>140</v>
      </c>
      <c r="H5" s="26" t="n">
        <v>250</v>
      </c>
      <c r="I5" s="19">
        <f>Settings!$B$3</f>
        <v/>
      </c>
      <c r="J5" s="20">
        <f>C5+Settings!$B$3</f>
        <v/>
      </c>
      <c r="K5" s="27" t="n">
        <v>3</v>
      </c>
      <c r="L5" s="27" t="n">
        <v>7</v>
      </c>
      <c r="M5" s="27" t="n">
        <v>2200</v>
      </c>
      <c r="N5" s="27" t="n">
        <v>50</v>
      </c>
      <c r="O5" s="28" t="n">
        <v>2</v>
      </c>
      <c r="P5" s="29" t="inlineStr">
        <is>
          <t>Good availability.</t>
        </is>
      </c>
      <c r="Q5" s="24" t="inlineStr">
        <is>
          <t>✓ Yes</t>
        </is>
      </c>
    </row>
    <row r="6" ht="22" customHeight="1">
      <c r="A6" s="16" t="inlineStr">
        <is>
          <t>All India AYUSH AIQ</t>
        </is>
      </c>
      <c r="B6" s="30" t="inlineStr">
        <is>
          <t>Central</t>
        </is>
      </c>
      <c r="C6" s="18" t="n">
        <v>280</v>
      </c>
      <c r="D6" s="18" t="n">
        <v>275</v>
      </c>
      <c r="E6" s="18" t="n">
        <v>270</v>
      </c>
      <c r="F6" s="18" t="n">
        <v>200</v>
      </c>
      <c r="G6" s="18" t="n">
        <v>175</v>
      </c>
      <c r="H6" s="31" t="inlineStr">
        <is>
          <t>FILL</t>
        </is>
      </c>
      <c r="I6" s="19">
        <f>Settings!$B$3</f>
        <v/>
      </c>
      <c r="J6" s="20">
        <f>C6+Settings!$B$3</f>
        <v/>
      </c>
      <c r="K6" s="21" t="n">
        <v>1</v>
      </c>
      <c r="L6" s="21" t="n">
        <v>5</v>
      </c>
      <c r="M6" s="21" t="n">
        <v>2500</v>
      </c>
      <c r="N6" s="21" t="n">
        <v>80</v>
      </c>
      <c r="O6" s="22" t="n">
        <v>1</v>
      </c>
      <c r="P6" s="23" t="inlineStr">
        <is>
          <t>15% AIQ govt seats.</t>
        </is>
      </c>
      <c r="Q6" s="24" t="inlineStr">
        <is>
          <t>✓ Yes</t>
        </is>
      </c>
    </row>
    <row r="7" ht="22" customHeight="1">
      <c r="A7" s="25" t="inlineStr">
        <is>
          <t>Deemed AYUSH</t>
        </is>
      </c>
      <c r="B7" s="30" t="inlineStr">
        <is>
          <t>Central</t>
        </is>
      </c>
      <c r="C7" s="26" t="n">
        <v>100</v>
      </c>
      <c r="D7" s="26" t="n">
        <v>100</v>
      </c>
      <c r="E7" s="26" t="n">
        <v>100</v>
      </c>
      <c r="F7" s="26" t="n">
        <v>100</v>
      </c>
      <c r="G7" s="26" t="n">
        <v>100</v>
      </c>
      <c r="H7" s="31" t="inlineStr">
        <is>
          <t>FILL</t>
        </is>
      </c>
      <c r="I7" s="19">
        <f>Settings!$B$3</f>
        <v/>
      </c>
      <c r="J7" s="20">
        <f>C7+Settings!$B$3</f>
        <v/>
      </c>
      <c r="K7" s="27" t="n">
        <v>5</v>
      </c>
      <c r="L7" s="27" t="n">
        <v>12</v>
      </c>
      <c r="M7" s="27" t="n">
        <v>4000</v>
      </c>
      <c r="N7" s="27" t="n">
        <v>60</v>
      </c>
      <c r="O7" s="28" t="n">
        <v>2</v>
      </c>
      <c r="P7" s="29" t="inlineStr">
        <is>
          <t>Highly accessible.</t>
        </is>
      </c>
      <c r="Q7" s="24" t="inlineStr">
        <is>
          <t>✓ Yes</t>
        </is>
      </c>
    </row>
    <row r="8" ht="22" customHeight="1">
      <c r="A8" s="16" t="inlineStr">
        <is>
          <t>Karnataka AYUSH</t>
        </is>
      </c>
      <c r="B8" s="32" t="inlineStr">
        <is>
          <t>Open</t>
        </is>
      </c>
      <c r="C8" s="31" t="inlineStr">
        <is>
          <t>FILL</t>
        </is>
      </c>
      <c r="D8" s="31" t="inlineStr">
        <is>
          <t>FILL</t>
        </is>
      </c>
      <c r="E8" s="31" t="inlineStr">
        <is>
          <t>FILL</t>
        </is>
      </c>
      <c r="F8" s="31" t="inlineStr">
        <is>
          <t>FILL</t>
        </is>
      </c>
      <c r="G8" s="31" t="inlineStr">
        <is>
          <t>FILL</t>
        </is>
      </c>
      <c r="H8" s="31" t="inlineStr">
        <is>
          <t>FILL</t>
        </is>
      </c>
      <c r="I8" s="19">
        <f>Settings!$B$3</f>
        <v/>
      </c>
      <c r="J8" s="35" t="inlineStr">
        <is>
          <t>—</t>
        </is>
      </c>
      <c r="K8" s="34" t="inlineStr">
        <is>
          <t>FILL</t>
        </is>
      </c>
      <c r="L8" s="34" t="inlineStr">
        <is>
          <t>FILL</t>
        </is>
      </c>
      <c r="M8" s="34" t="inlineStr">
        <is>
          <t>FILL</t>
        </is>
      </c>
      <c r="N8" s="34" t="inlineStr">
        <is>
          <t>FILL</t>
        </is>
      </c>
      <c r="O8" s="28" t="n">
        <v>2</v>
      </c>
      <c r="P8" s="23" t="inlineStr">
        <is>
          <t>Data to be filled</t>
        </is>
      </c>
      <c r="Q8" s="36" t="inlineStr">
        <is>
          <t>⚠ Fill</t>
        </is>
      </c>
    </row>
    <row r="9" ht="22" customHeight="1">
      <c r="A9" s="25" t="inlineStr">
        <is>
          <t>Uttar Pradesh AYUSH</t>
        </is>
      </c>
      <c r="B9" s="32" t="inlineStr">
        <is>
          <t>Open</t>
        </is>
      </c>
      <c r="C9" s="31" t="inlineStr">
        <is>
          <t>FILL</t>
        </is>
      </c>
      <c r="D9" s="31" t="inlineStr">
        <is>
          <t>FILL</t>
        </is>
      </c>
      <c r="E9" s="31" t="inlineStr">
        <is>
          <t>FILL</t>
        </is>
      </c>
      <c r="F9" s="31" t="inlineStr">
        <is>
          <t>FILL</t>
        </is>
      </c>
      <c r="G9" s="31" t="inlineStr">
        <is>
          <t>FILL</t>
        </is>
      </c>
      <c r="H9" s="31" t="inlineStr">
        <is>
          <t>FILL</t>
        </is>
      </c>
      <c r="I9" s="19">
        <f>Settings!$B$3</f>
        <v/>
      </c>
      <c r="J9" s="35" t="inlineStr">
        <is>
          <t>—</t>
        </is>
      </c>
      <c r="K9" s="34" t="inlineStr">
        <is>
          <t>FILL</t>
        </is>
      </c>
      <c r="L9" s="34" t="inlineStr">
        <is>
          <t>FILL</t>
        </is>
      </c>
      <c r="M9" s="34" t="inlineStr">
        <is>
          <t>FILL</t>
        </is>
      </c>
      <c r="N9" s="34" t="inlineStr">
        <is>
          <t>FILL</t>
        </is>
      </c>
      <c r="O9" s="33" t="n">
        <v>3</v>
      </c>
      <c r="P9" s="29" t="inlineStr">
        <is>
          <t>Data to be filled</t>
        </is>
      </c>
      <c r="Q9" s="36" t="inlineStr">
        <is>
          <t>⚠ Fill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4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40" customWidth="1" min="16" max="16"/>
    <col width="10" customWidth="1" min="17" max="17"/>
  </cols>
  <sheetData>
    <row r="1" ht="32" customHeight="1">
      <c r="A1" s="13" t="inlineStr">
        <is>
          <t>ASMI Career — BPTH Cutoff Data (2025-26 Actuals)</t>
        </is>
      </c>
    </row>
    <row r="2" ht="18" customHeight="1">
      <c r="A2" s="14" t="inlineStr">
        <is>
          <t>Paper Adjustment is pulled from Settings sheet (currently +15). Projected 2026 = 2025 Actual + Adjustment. YELLOW cells = data needed.</t>
        </is>
      </c>
    </row>
    <row r="3" ht="36" customHeight="1">
      <c r="A3" s="15" t="inlineStr">
        <is>
          <t>State / Process</t>
        </is>
      </c>
      <c r="B3" s="15" t="inlineStr">
        <is>
          <t>Type</t>
        </is>
      </c>
      <c r="C3" s="15" t="inlineStr">
        <is>
          <t>Open Cutoff
2025-26</t>
        </is>
      </c>
      <c r="D3" s="15" t="inlineStr">
        <is>
          <t>OBC Cutoff
2025-26</t>
        </is>
      </c>
      <c r="E3" s="15" t="inlineStr">
        <is>
          <t>EWS Cutoff
2025-26</t>
        </is>
      </c>
      <c r="F3" s="15" t="inlineStr">
        <is>
          <t>SC Cutoff
2025-26</t>
        </is>
      </c>
      <c r="G3" s="15" t="inlineStr">
        <is>
          <t>ST Cutoff
2025-26</t>
        </is>
      </c>
      <c r="H3" s="15" t="inlineStr">
        <is>
          <t>VJ/NT Cutoff
2025-26</t>
        </is>
      </c>
      <c r="I3" s="15" t="inlineStr">
        <is>
          <t>Paper Adj
(from Settings)</t>
        </is>
      </c>
      <c r="J3" s="15" t="inlineStr">
        <is>
          <t>Projected Open
Cutoff 2026</t>
        </is>
      </c>
      <c r="K3" s="15" t="inlineStr">
        <is>
          <t>Fee Min
(L/yr)</t>
        </is>
      </c>
      <c r="L3" s="15" t="inlineStr">
        <is>
          <t>Fee Max
(L/yr)</t>
        </is>
      </c>
      <c r="M3" s="15" t="inlineStr">
        <is>
          <t>Open Seats</t>
        </is>
      </c>
      <c r="N3" s="15" t="inlineStr">
        <is>
          <t>Colleges</t>
        </is>
      </c>
      <c r="O3" s="15" t="inlineStr">
        <is>
          <t>Tier
(1/2/3)</t>
        </is>
      </c>
      <c r="P3" s="15" t="inlineStr">
        <is>
          <t>Notes</t>
        </is>
      </c>
      <c r="Q3" s="15" t="inlineStr">
        <is>
          <t>Data
Complete?</t>
        </is>
      </c>
    </row>
    <row r="4" ht="22" customHeight="1">
      <c r="A4" s="16" t="inlineStr">
        <is>
          <t>MH Government</t>
        </is>
      </c>
      <c r="B4" s="17" t="inlineStr">
        <is>
          <t>State</t>
        </is>
      </c>
      <c r="C4" s="18" t="n">
        <v>200</v>
      </c>
      <c r="D4" s="18" t="n">
        <v>195</v>
      </c>
      <c r="E4" s="18" t="n">
        <v>185</v>
      </c>
      <c r="F4" s="18" t="n">
        <v>150</v>
      </c>
      <c r="G4" s="18" t="n">
        <v>110</v>
      </c>
      <c r="H4" s="18" t="n">
        <v>180</v>
      </c>
      <c r="I4" s="19">
        <f>Settings!$B$3</f>
        <v/>
      </c>
      <c r="J4" s="20">
        <f>C4+Settings!$B$3</f>
        <v/>
      </c>
      <c r="K4" s="21" t="n">
        <v>1</v>
      </c>
      <c r="L4" s="21" t="n">
        <v>2</v>
      </c>
      <c r="M4" s="21" t="n">
        <v>600</v>
      </c>
      <c r="N4" s="21" t="n">
        <v>8</v>
      </c>
      <c r="O4" s="22" t="n">
        <v>1</v>
      </c>
      <c r="P4" s="23" t="inlineStr">
        <is>
          <t>100% seats via state. Lower score needed.</t>
        </is>
      </c>
      <c r="Q4" s="24" t="inlineStr">
        <is>
          <t>✓ Yes</t>
        </is>
      </c>
    </row>
    <row r="5" ht="22" customHeight="1">
      <c r="A5" s="25" t="inlineStr">
        <is>
          <t>MH Private</t>
        </is>
      </c>
      <c r="B5" s="17" t="inlineStr">
        <is>
          <t>State</t>
        </is>
      </c>
      <c r="C5" s="26" t="n">
        <v>170</v>
      </c>
      <c r="D5" s="26" t="n">
        <v>165</v>
      </c>
      <c r="E5" s="26" t="n">
        <v>160</v>
      </c>
      <c r="F5" s="26" t="n">
        <v>130</v>
      </c>
      <c r="G5" s="26" t="n">
        <v>90</v>
      </c>
      <c r="H5" s="26" t="n">
        <v>155</v>
      </c>
      <c r="I5" s="19">
        <f>Settings!$B$3</f>
        <v/>
      </c>
      <c r="J5" s="20">
        <f>C5+Settings!$B$3</f>
        <v/>
      </c>
      <c r="K5" s="27" t="n">
        <v>2</v>
      </c>
      <c r="L5" s="27" t="n">
        <v>6</v>
      </c>
      <c r="M5" s="27" t="n">
        <v>1500</v>
      </c>
      <c r="N5" s="27" t="n">
        <v>40</v>
      </c>
      <c r="O5" s="28" t="n">
        <v>2</v>
      </c>
      <c r="P5" s="29" t="inlineStr">
        <is>
          <t>Good accessibility.</t>
        </is>
      </c>
      <c r="Q5" s="24" t="inlineStr">
        <is>
          <t>✓ Yes</t>
        </is>
      </c>
    </row>
    <row r="6" ht="22" customHeight="1">
      <c r="A6" s="16" t="inlineStr">
        <is>
          <t>KEM Physiotherapy</t>
        </is>
      </c>
      <c r="B6" s="17" t="inlineStr">
        <is>
          <t>State</t>
        </is>
      </c>
      <c r="C6" s="18" t="n">
        <v>180</v>
      </c>
      <c r="D6" s="18" t="n">
        <v>175</v>
      </c>
      <c r="E6" s="18" t="n">
        <v>170</v>
      </c>
      <c r="F6" s="18" t="n">
        <v>140</v>
      </c>
      <c r="G6" s="18" t="n">
        <v>100</v>
      </c>
      <c r="H6" s="31" t="inlineStr">
        <is>
          <t>FILL</t>
        </is>
      </c>
      <c r="I6" s="19">
        <f>Settings!$B$3</f>
        <v/>
      </c>
      <c r="J6" s="20">
        <f>C6+Settings!$B$3</f>
        <v/>
      </c>
      <c r="K6" s="21" t="n">
        <v>1</v>
      </c>
      <c r="L6" s="21" t="n">
        <v>2</v>
      </c>
      <c r="M6" s="21" t="n">
        <v>60</v>
      </c>
      <c r="N6" s="21" t="n">
        <v>1</v>
      </c>
      <c r="O6" s="22" t="n">
        <v>1</v>
      </c>
      <c r="P6" s="23" t="inlineStr">
        <is>
          <t>Premium govt institute. KEM Mumbai.</t>
        </is>
      </c>
      <c r="Q6" s="24" t="inlineStr">
        <is>
          <t>✓ Yes</t>
        </is>
      </c>
    </row>
    <row r="7" ht="22" customHeight="1">
      <c r="A7" s="25" t="inlineStr">
        <is>
          <t>All India</t>
        </is>
      </c>
      <c r="B7" s="30" t="inlineStr">
        <is>
          <t>Central</t>
        </is>
      </c>
      <c r="C7" s="26" t="n">
        <v>190</v>
      </c>
      <c r="D7" s="26" t="n">
        <v>185</v>
      </c>
      <c r="E7" s="26" t="n">
        <v>180</v>
      </c>
      <c r="F7" s="26" t="n">
        <v>145</v>
      </c>
      <c r="G7" s="26" t="n">
        <v>105</v>
      </c>
      <c r="H7" s="31" t="inlineStr">
        <is>
          <t>FILL</t>
        </is>
      </c>
      <c r="I7" s="19">
        <f>Settings!$B$3</f>
        <v/>
      </c>
      <c r="J7" s="20">
        <f>C7+Settings!$B$3</f>
        <v/>
      </c>
      <c r="K7" s="27" t="n">
        <v>2</v>
      </c>
      <c r="L7" s="27" t="n">
        <v>8</v>
      </c>
      <c r="M7" s="27" t="n">
        <v>2000</v>
      </c>
      <c r="N7" s="27" t="n">
        <v>80</v>
      </c>
      <c r="O7" s="28" t="n">
        <v>2</v>
      </c>
      <c r="P7" s="29" t="inlineStr">
        <is>
          <t>Various states.</t>
        </is>
      </c>
      <c r="Q7" s="24" t="inlineStr">
        <is>
          <t>✓ Yes</t>
        </is>
      </c>
    </row>
    <row r="8" ht="22" customHeight="1">
      <c r="A8" s="16" t="inlineStr">
        <is>
          <t>Karnataka</t>
        </is>
      </c>
      <c r="B8" s="32" t="inlineStr">
        <is>
          <t>Open</t>
        </is>
      </c>
      <c r="C8" s="31" t="inlineStr">
        <is>
          <t>FILL</t>
        </is>
      </c>
      <c r="D8" s="31" t="inlineStr">
        <is>
          <t>FILL</t>
        </is>
      </c>
      <c r="E8" s="31" t="inlineStr">
        <is>
          <t>FILL</t>
        </is>
      </c>
      <c r="F8" s="31" t="inlineStr">
        <is>
          <t>FILL</t>
        </is>
      </c>
      <c r="G8" s="31" t="inlineStr">
        <is>
          <t>FILL</t>
        </is>
      </c>
      <c r="H8" s="31" t="inlineStr">
        <is>
          <t>FILL</t>
        </is>
      </c>
      <c r="I8" s="19">
        <f>Settings!$B$3</f>
        <v/>
      </c>
      <c r="J8" s="35" t="inlineStr">
        <is>
          <t>—</t>
        </is>
      </c>
      <c r="K8" s="34" t="inlineStr">
        <is>
          <t>FILL</t>
        </is>
      </c>
      <c r="L8" s="34" t="inlineStr">
        <is>
          <t>FILL</t>
        </is>
      </c>
      <c r="M8" s="34" t="inlineStr">
        <is>
          <t>FILL</t>
        </is>
      </c>
      <c r="N8" s="34" t="inlineStr">
        <is>
          <t>FILL</t>
        </is>
      </c>
      <c r="O8" s="28" t="n">
        <v>2</v>
      </c>
      <c r="P8" s="23" t="inlineStr">
        <is>
          <t>Data to be filled</t>
        </is>
      </c>
      <c r="Q8" s="36" t="inlineStr">
        <is>
          <t>⚠ Fill</t>
        </is>
      </c>
    </row>
    <row r="9" ht="22" customHeight="1">
      <c r="A9" s="25" t="inlineStr">
        <is>
          <t>UP</t>
        </is>
      </c>
      <c r="B9" s="32" t="inlineStr">
        <is>
          <t>Open</t>
        </is>
      </c>
      <c r="C9" s="31" t="inlineStr">
        <is>
          <t>FILL</t>
        </is>
      </c>
      <c r="D9" s="31" t="inlineStr">
        <is>
          <t>FILL</t>
        </is>
      </c>
      <c r="E9" s="31" t="inlineStr">
        <is>
          <t>FILL</t>
        </is>
      </c>
      <c r="F9" s="31" t="inlineStr">
        <is>
          <t>FILL</t>
        </is>
      </c>
      <c r="G9" s="31" t="inlineStr">
        <is>
          <t>FILL</t>
        </is>
      </c>
      <c r="H9" s="31" t="inlineStr">
        <is>
          <t>FILL</t>
        </is>
      </c>
      <c r="I9" s="19">
        <f>Settings!$B$3</f>
        <v/>
      </c>
      <c r="J9" s="35" t="inlineStr">
        <is>
          <t>—</t>
        </is>
      </c>
      <c r="K9" s="34" t="inlineStr">
        <is>
          <t>FILL</t>
        </is>
      </c>
      <c r="L9" s="34" t="inlineStr">
        <is>
          <t>FILL</t>
        </is>
      </c>
      <c r="M9" s="34" t="inlineStr">
        <is>
          <t>FILL</t>
        </is>
      </c>
      <c r="N9" s="34" t="inlineStr">
        <is>
          <t>FILL</t>
        </is>
      </c>
      <c r="O9" s="33" t="n">
        <v>3</v>
      </c>
      <c r="P9" s="29" t="inlineStr">
        <is>
          <t>Data to be filled</t>
        </is>
      </c>
      <c r="Q9" s="36" t="inlineStr">
        <is>
          <t>⚠ Fill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4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40" customWidth="1" min="16" max="16"/>
    <col width="10" customWidth="1" min="17" max="17"/>
  </cols>
  <sheetData>
    <row r="1" ht="32" customHeight="1">
      <c r="A1" s="13" t="inlineStr">
        <is>
          <t>ASMI Career — BVSC Cutoff Data (2025-26 Actuals)</t>
        </is>
      </c>
    </row>
    <row r="2" ht="18" customHeight="1">
      <c r="A2" s="14" t="inlineStr">
        <is>
          <t>Paper Adjustment is pulled from Settings sheet (currently +15). Projected 2026 = 2025 Actual + Adjustment. YELLOW cells = data needed.</t>
        </is>
      </c>
    </row>
    <row r="3" ht="36" customHeight="1">
      <c r="A3" s="15" t="inlineStr">
        <is>
          <t>State / Process</t>
        </is>
      </c>
      <c r="B3" s="15" t="inlineStr">
        <is>
          <t>Type</t>
        </is>
      </c>
      <c r="C3" s="15" t="inlineStr">
        <is>
          <t>Open Cutoff
2025-26</t>
        </is>
      </c>
      <c r="D3" s="15" t="inlineStr">
        <is>
          <t>OBC Cutoff
2025-26</t>
        </is>
      </c>
      <c r="E3" s="15" t="inlineStr">
        <is>
          <t>EWS Cutoff
2025-26</t>
        </is>
      </c>
      <c r="F3" s="15" t="inlineStr">
        <is>
          <t>SC Cutoff
2025-26</t>
        </is>
      </c>
      <c r="G3" s="15" t="inlineStr">
        <is>
          <t>ST Cutoff
2025-26</t>
        </is>
      </c>
      <c r="H3" s="15" t="inlineStr">
        <is>
          <t>VJ/NT Cutoff
2025-26</t>
        </is>
      </c>
      <c r="I3" s="15" t="inlineStr">
        <is>
          <t>Paper Adj
(from Settings)</t>
        </is>
      </c>
      <c r="J3" s="15" t="inlineStr">
        <is>
          <t>Projected Open
Cutoff 2026</t>
        </is>
      </c>
      <c r="K3" s="15" t="inlineStr">
        <is>
          <t>Fee Min
(L/yr)</t>
        </is>
      </c>
      <c r="L3" s="15" t="inlineStr">
        <is>
          <t>Fee Max
(L/yr)</t>
        </is>
      </c>
      <c r="M3" s="15" t="inlineStr">
        <is>
          <t>Open Seats</t>
        </is>
      </c>
      <c r="N3" s="15" t="inlineStr">
        <is>
          <t>Colleges</t>
        </is>
      </c>
      <c r="O3" s="15" t="inlineStr">
        <is>
          <t>Tier
(1/2/3)</t>
        </is>
      </c>
      <c r="P3" s="15" t="inlineStr">
        <is>
          <t>Notes</t>
        </is>
      </c>
      <c r="Q3" s="15" t="inlineStr">
        <is>
          <t>Data
Complete?</t>
        </is>
      </c>
    </row>
    <row r="4" ht="22" customHeight="1">
      <c r="A4" s="16" t="inlineStr">
        <is>
          <t>MH Government</t>
        </is>
      </c>
      <c r="B4" s="17" t="inlineStr">
        <is>
          <t>State</t>
        </is>
      </c>
      <c r="C4" s="18" t="n">
        <v>350</v>
      </c>
      <c r="D4" s="18" t="n">
        <v>345</v>
      </c>
      <c r="E4" s="18" t="n">
        <v>335</v>
      </c>
      <c r="F4" s="18" t="n">
        <v>270</v>
      </c>
      <c r="G4" s="18" t="n">
        <v>200</v>
      </c>
      <c r="H4" s="18" t="n">
        <v>320</v>
      </c>
      <c r="I4" s="19">
        <f>Settings!$B$3</f>
        <v/>
      </c>
      <c r="J4" s="20">
        <f>C4+Settings!$B$3</f>
        <v/>
      </c>
      <c r="K4" s="21" t="n">
        <v>1</v>
      </c>
      <c r="L4" s="21" t="n">
        <v>2</v>
      </c>
      <c r="M4" s="21" t="n">
        <v>400</v>
      </c>
      <c r="N4" s="21" t="n">
        <v>5</v>
      </c>
      <c r="O4" s="22" t="n">
        <v>1</v>
      </c>
      <c r="P4" s="23" t="inlineStr">
        <is>
          <t>85% seats. Domicile required.</t>
        </is>
      </c>
      <c r="Q4" s="24" t="inlineStr">
        <is>
          <t>✓ Yes</t>
        </is>
      </c>
    </row>
    <row r="5" ht="22" customHeight="1">
      <c r="A5" s="25" t="inlineStr">
        <is>
          <t>All India Vet AIQ</t>
        </is>
      </c>
      <c r="B5" s="30" t="inlineStr">
        <is>
          <t>Central</t>
        </is>
      </c>
      <c r="C5" s="26" t="n">
        <v>380</v>
      </c>
      <c r="D5" s="26" t="n">
        <v>375</v>
      </c>
      <c r="E5" s="26" t="n">
        <v>370</v>
      </c>
      <c r="F5" s="26" t="n">
        <v>290</v>
      </c>
      <c r="G5" s="26" t="n">
        <v>220</v>
      </c>
      <c r="H5" s="31" t="inlineStr">
        <is>
          <t>FILL</t>
        </is>
      </c>
      <c r="I5" s="19">
        <f>Settings!$B$3</f>
        <v/>
      </c>
      <c r="J5" s="20">
        <f>C5+Settings!$B$3</f>
        <v/>
      </c>
      <c r="K5" s="27" t="n">
        <v>1</v>
      </c>
      <c r="L5" s="27" t="n">
        <v>5</v>
      </c>
      <c r="M5" s="27" t="n">
        <v>800</v>
      </c>
      <c r="N5" s="27" t="n">
        <v>20</v>
      </c>
      <c r="O5" s="22" t="n">
        <v>1</v>
      </c>
      <c r="P5" s="29" t="inlineStr">
        <is>
          <t>15% AIQ.</t>
        </is>
      </c>
      <c r="Q5" s="24" t="inlineStr">
        <is>
          <t>✓ Yes</t>
        </is>
      </c>
    </row>
    <row r="6" ht="22" customHeight="1">
      <c r="A6" s="16" t="inlineStr">
        <is>
          <t>Private Vet</t>
        </is>
      </c>
      <c r="B6" s="32" t="inlineStr">
        <is>
          <t>Open</t>
        </is>
      </c>
      <c r="C6" s="18" t="n">
        <v>300</v>
      </c>
      <c r="D6" s="18" t="n">
        <v>295</v>
      </c>
      <c r="E6" s="18" t="n">
        <v>290</v>
      </c>
      <c r="F6" s="18" t="n">
        <v>230</v>
      </c>
      <c r="G6" s="18" t="n">
        <v>160</v>
      </c>
      <c r="H6" s="31" t="inlineStr">
        <is>
          <t>FILL</t>
        </is>
      </c>
      <c r="I6" s="19">
        <f>Settings!$B$3</f>
        <v/>
      </c>
      <c r="J6" s="20">
        <f>C6+Settings!$B$3</f>
        <v/>
      </c>
      <c r="K6" s="21" t="n">
        <v>5</v>
      </c>
      <c r="L6" s="21" t="n">
        <v>15</v>
      </c>
      <c r="M6" s="21" t="n">
        <v>1000</v>
      </c>
      <c r="N6" s="21" t="n">
        <v>15</v>
      </c>
      <c r="O6" s="28" t="n">
        <v>2</v>
      </c>
      <c r="P6" s="23" t="inlineStr">
        <is>
          <t>Various states.</t>
        </is>
      </c>
      <c r="Q6" s="24" t="inlineStr">
        <is>
          <t>✓ Yes</t>
        </is>
      </c>
    </row>
    <row r="7" ht="22" customHeight="1">
      <c r="A7" s="25" t="inlineStr">
        <is>
          <t>Deemed Vet</t>
        </is>
      </c>
      <c r="B7" s="30" t="inlineStr">
        <is>
          <t>Central</t>
        </is>
      </c>
      <c r="C7" s="31" t="inlineStr">
        <is>
          <t>FILL</t>
        </is>
      </c>
      <c r="D7" s="31" t="inlineStr">
        <is>
          <t>FILL</t>
        </is>
      </c>
      <c r="E7" s="31" t="inlineStr">
        <is>
          <t>FILL</t>
        </is>
      </c>
      <c r="F7" s="31" t="inlineStr">
        <is>
          <t>FILL</t>
        </is>
      </c>
      <c r="G7" s="31" t="inlineStr">
        <is>
          <t>FILL</t>
        </is>
      </c>
      <c r="H7" s="31" t="inlineStr">
        <is>
          <t>FILL</t>
        </is>
      </c>
      <c r="I7" s="19">
        <f>Settings!$B$3</f>
        <v/>
      </c>
      <c r="J7" s="35" t="inlineStr">
        <is>
          <t>—</t>
        </is>
      </c>
      <c r="K7" s="34" t="inlineStr">
        <is>
          <t>FILL</t>
        </is>
      </c>
      <c r="L7" s="34" t="inlineStr">
        <is>
          <t>FILL</t>
        </is>
      </c>
      <c r="M7" s="34" t="inlineStr">
        <is>
          <t>FILL</t>
        </is>
      </c>
      <c r="N7" s="34" t="inlineStr">
        <is>
          <t>FILL</t>
        </is>
      </c>
      <c r="O7" s="28" t="n">
        <v>2</v>
      </c>
      <c r="P7" s="29" t="inlineStr">
        <is>
          <t>Data to be filled</t>
        </is>
      </c>
      <c r="Q7" s="36" t="inlineStr">
        <is>
          <t>⚠ Fill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40" customWidth="1" min="4" max="4"/>
  </cols>
  <sheetData>
    <row r="1" ht="30" customHeight="1">
      <c r="A1" s="37" t="inlineStr">
        <is>
          <t>Budget Bracket Mapping — Inquiry Form Values to Dashboard Logic</t>
        </is>
      </c>
      <c r="B1" s="2" t="n"/>
      <c r="C1" s="2" t="n"/>
      <c r="D1" s="2" t="n"/>
    </row>
    <row r="2">
      <c r="A2" s="3" t="inlineStr">
        <is>
          <t>Form Value (as submitted)</t>
        </is>
      </c>
      <c r="B2" s="3" t="inlineStr">
        <is>
          <t>Display Label</t>
        </is>
      </c>
      <c r="C2" s="3" t="inlineStr">
        <is>
          <t>Max Fee (Lakhs)</t>
        </is>
      </c>
      <c r="D2" s="3" t="inlineStr">
        <is>
          <t>What it unlocks</t>
        </is>
      </c>
    </row>
    <row r="3">
      <c r="A3" s="4" t="inlineStr">
        <is>
          <t>Govt 1-2L</t>
        </is>
      </c>
      <c r="B3" s="38" t="inlineStr">
        <is>
          <t>Govt (₹1–2L/yr)</t>
        </is>
      </c>
      <c r="C3" s="10" t="n">
        <v>2</v>
      </c>
      <c r="D3" s="39" t="inlineStr">
        <is>
          <t>Only government seat processes</t>
        </is>
      </c>
    </row>
    <row r="4">
      <c r="A4" s="7" t="inlineStr">
        <is>
          <t>Private 7-15L</t>
        </is>
      </c>
      <c r="B4" s="40" t="inlineStr">
        <is>
          <t>Private (₹7–15L/yr)</t>
        </is>
      </c>
      <c r="C4" s="8" t="n">
        <v>15</v>
      </c>
      <c r="D4" s="41" t="inlineStr">
        <is>
          <t>Kerala, CG, Karnataka, MH Private, Telangana, UP, Bihar</t>
        </is>
      </c>
    </row>
    <row r="5">
      <c r="A5" s="4" t="inlineStr">
        <is>
          <t>Deemed 18-30L</t>
        </is>
      </c>
      <c r="B5" s="38" t="inlineStr">
        <is>
          <t>Deemed (₹10–35L/yr)</t>
        </is>
      </c>
      <c r="C5" s="10" t="n">
        <v>35</v>
      </c>
      <c r="D5" s="39" t="inlineStr">
        <is>
          <t>Deemed universities + all private states</t>
        </is>
      </c>
    </row>
    <row r="6">
      <c r="A6" s="7" t="inlineStr">
        <is>
          <t>NRI / Management 40-50L</t>
        </is>
      </c>
      <c r="B6" s="40" t="inlineStr">
        <is>
          <t>NRI/Mgmt (₹40–60L/yr)</t>
        </is>
      </c>
      <c r="C6" s="8" t="n">
        <v>60</v>
      </c>
      <c r="D6" s="41" t="inlineStr">
        <is>
          <t>All options including NRI/Management quota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2026-05-16T09:47:50Z</dcterms:created>
  <dcterms:modified xmlns:dcterms="http://purl.org/dc/terms/" xmlns:xsi="http://www.w3.org/2001/XMLSchema-instance" xsi:type="dcterms:W3CDTF">2026-05-16T09:47:50Z</dcterms:modified>
</cp:coreProperties>
</file>